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April\"/>
    </mc:Choice>
  </mc:AlternateContent>
  <bookViews>
    <workbookView xWindow="0" yWindow="0" windowWidth="18384" windowHeight="6492"/>
  </bookViews>
  <sheets>
    <sheet name="전력비" sheetId="1" r:id="rId1"/>
    <sheet name="26년개편안" sheetId="2" r:id="rId2"/>
  </sheets>
  <externalReferences>
    <externalReference r:id="rId3"/>
  </externalReferences>
  <definedNames>
    <definedName name="_xlnm.Print_Area" localSheetId="0">전력비!$B$1:$Q$110</definedName>
    <definedName name="_xlnm.Print_Titles" localSheetId="0">전력비!$B:$C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0" i="1" l="1"/>
  <c r="H83" i="1"/>
  <c r="G110" i="1" l="1"/>
  <c r="G63" i="1"/>
  <c r="G23" i="1"/>
  <c r="F83" i="1" l="1"/>
  <c r="E83" i="1"/>
  <c r="F82" i="1"/>
  <c r="G82" i="1"/>
  <c r="H82" i="1"/>
  <c r="I82" i="1"/>
  <c r="J82" i="1"/>
  <c r="K82" i="1"/>
  <c r="L82" i="1"/>
  <c r="M82" i="1"/>
  <c r="N82" i="1"/>
  <c r="O82" i="1"/>
  <c r="P82" i="1"/>
  <c r="Q82" i="1"/>
  <c r="E82" i="1"/>
  <c r="F81" i="1"/>
  <c r="G81" i="1"/>
  <c r="H81" i="1"/>
  <c r="I81" i="1"/>
  <c r="J81" i="1"/>
  <c r="K81" i="1"/>
  <c r="L81" i="1"/>
  <c r="M81" i="1"/>
  <c r="N81" i="1"/>
  <c r="O81" i="1"/>
  <c r="P81" i="1"/>
  <c r="Q81" i="1"/>
  <c r="E81" i="1"/>
  <c r="F80" i="1"/>
  <c r="G80" i="1"/>
  <c r="H80" i="1"/>
  <c r="I80" i="1"/>
  <c r="J80" i="1"/>
  <c r="K80" i="1"/>
  <c r="L80" i="1"/>
  <c r="M80" i="1"/>
  <c r="N80" i="1"/>
  <c r="O80" i="1"/>
  <c r="P80" i="1"/>
  <c r="E80" i="1"/>
  <c r="Q111" i="1" l="1"/>
  <c r="F110" i="1"/>
  <c r="E110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Q103" i="1" s="1"/>
  <c r="P102" i="1"/>
  <c r="O102" i="1"/>
  <c r="N102" i="1"/>
  <c r="M102" i="1"/>
  <c r="L102" i="1"/>
  <c r="K102" i="1"/>
  <c r="J102" i="1"/>
  <c r="I102" i="1"/>
  <c r="H102" i="1"/>
  <c r="G102" i="1"/>
  <c r="F102" i="1"/>
  <c r="E102" i="1"/>
  <c r="Q102" i="1" s="1"/>
  <c r="P101" i="1"/>
  <c r="O101" i="1"/>
  <c r="N101" i="1"/>
  <c r="M101" i="1"/>
  <c r="L101" i="1"/>
  <c r="K101" i="1"/>
  <c r="J101" i="1"/>
  <c r="I101" i="1"/>
  <c r="H101" i="1"/>
  <c r="G101" i="1"/>
  <c r="F101" i="1"/>
  <c r="E101" i="1"/>
  <c r="Q101" i="1" s="1"/>
  <c r="P100" i="1"/>
  <c r="O100" i="1"/>
  <c r="N100" i="1"/>
  <c r="M100" i="1"/>
  <c r="L100" i="1"/>
  <c r="K100" i="1"/>
  <c r="J100" i="1"/>
  <c r="I100" i="1"/>
  <c r="H100" i="1"/>
  <c r="G100" i="1"/>
  <c r="F100" i="1"/>
  <c r="E100" i="1"/>
  <c r="Q100" i="1" s="1"/>
  <c r="P99" i="1"/>
  <c r="O99" i="1"/>
  <c r="N99" i="1"/>
  <c r="M99" i="1"/>
  <c r="L99" i="1"/>
  <c r="K99" i="1"/>
  <c r="J99" i="1"/>
  <c r="I99" i="1"/>
  <c r="H99" i="1"/>
  <c r="G99" i="1"/>
  <c r="F99" i="1"/>
  <c r="E99" i="1"/>
  <c r="Q99" i="1" s="1"/>
  <c r="P97" i="1"/>
  <c r="O97" i="1"/>
  <c r="N97" i="1"/>
  <c r="M97" i="1"/>
  <c r="L97" i="1"/>
  <c r="L113" i="1" s="1"/>
  <c r="K97" i="1"/>
  <c r="J97" i="1"/>
  <c r="J113" i="1" s="1"/>
  <c r="I97" i="1"/>
  <c r="I113" i="1" s="1"/>
  <c r="H97" i="1"/>
  <c r="H113" i="1" s="1"/>
  <c r="G97" i="1"/>
  <c r="G113" i="1" s="1"/>
  <c r="F97" i="1"/>
  <c r="E97" i="1"/>
  <c r="E113" i="1" s="1"/>
  <c r="P95" i="1"/>
  <c r="O95" i="1"/>
  <c r="N95" i="1"/>
  <c r="M95" i="1"/>
  <c r="L95" i="1"/>
  <c r="K95" i="1"/>
  <c r="J95" i="1"/>
  <c r="I95" i="1"/>
  <c r="I112" i="1" s="1"/>
  <c r="H95" i="1"/>
  <c r="H112" i="1" s="1"/>
  <c r="G95" i="1"/>
  <c r="F95" i="1"/>
  <c r="E95" i="1"/>
  <c r="Q95" i="1" s="1"/>
  <c r="P93" i="1"/>
  <c r="O93" i="1"/>
  <c r="N93" i="1"/>
  <c r="M93" i="1"/>
  <c r="L93" i="1"/>
  <c r="K93" i="1"/>
  <c r="J93" i="1"/>
  <c r="I93" i="1"/>
  <c r="H93" i="1"/>
  <c r="G93" i="1"/>
  <c r="F93" i="1"/>
  <c r="E93" i="1"/>
  <c r="Q93" i="1" s="1"/>
  <c r="O91" i="1"/>
  <c r="N91" i="1"/>
  <c r="K91" i="1"/>
  <c r="J91" i="1"/>
  <c r="I91" i="1"/>
  <c r="H91" i="1"/>
  <c r="G91" i="1"/>
  <c r="F91" i="1"/>
  <c r="E91" i="1"/>
  <c r="Q91" i="1" s="1"/>
  <c r="O89" i="1"/>
  <c r="N89" i="1"/>
  <c r="K89" i="1"/>
  <c r="K115" i="1" s="1"/>
  <c r="J89" i="1"/>
  <c r="J115" i="1" s="1"/>
  <c r="I89" i="1"/>
  <c r="I115" i="1" s="1"/>
  <c r="H89" i="1"/>
  <c r="H115" i="1" s="1"/>
  <c r="G89" i="1"/>
  <c r="G115" i="1" s="1"/>
  <c r="F89" i="1"/>
  <c r="F115" i="1" s="1"/>
  <c r="E89" i="1"/>
  <c r="Q89" i="1" s="1"/>
  <c r="P87" i="1"/>
  <c r="Q87" i="1" s="1"/>
  <c r="Q85" i="1"/>
  <c r="Q84" i="1"/>
  <c r="P79" i="1"/>
  <c r="O79" i="1"/>
  <c r="N79" i="1"/>
  <c r="M79" i="1"/>
  <c r="L79" i="1"/>
  <c r="K79" i="1"/>
  <c r="J79" i="1"/>
  <c r="I79" i="1"/>
  <c r="H79" i="1"/>
  <c r="G79" i="1"/>
  <c r="F79" i="1"/>
  <c r="E79" i="1"/>
  <c r="P78" i="1"/>
  <c r="O78" i="1"/>
  <c r="N78" i="1"/>
  <c r="M78" i="1"/>
  <c r="L78" i="1"/>
  <c r="K78" i="1"/>
  <c r="J78" i="1"/>
  <c r="I78" i="1"/>
  <c r="H78" i="1"/>
  <c r="G78" i="1"/>
  <c r="F78" i="1"/>
  <c r="E78" i="1"/>
  <c r="P77" i="1"/>
  <c r="O77" i="1"/>
  <c r="N77" i="1"/>
  <c r="M77" i="1"/>
  <c r="L77" i="1"/>
  <c r="K77" i="1"/>
  <c r="J77" i="1"/>
  <c r="I77" i="1"/>
  <c r="H77" i="1"/>
  <c r="G77" i="1"/>
  <c r="F77" i="1"/>
  <c r="E77" i="1"/>
  <c r="P76" i="1"/>
  <c r="O76" i="1"/>
  <c r="N76" i="1"/>
  <c r="M76" i="1"/>
  <c r="L76" i="1"/>
  <c r="K76" i="1"/>
  <c r="J76" i="1"/>
  <c r="I76" i="1"/>
  <c r="H76" i="1"/>
  <c r="G76" i="1"/>
  <c r="F76" i="1"/>
  <c r="E76" i="1"/>
  <c r="Q76" i="1" s="1"/>
  <c r="P75" i="1"/>
  <c r="O75" i="1"/>
  <c r="N75" i="1"/>
  <c r="M75" i="1"/>
  <c r="L75" i="1"/>
  <c r="K75" i="1"/>
  <c r="J75" i="1"/>
  <c r="I75" i="1"/>
  <c r="H75" i="1"/>
  <c r="G75" i="1"/>
  <c r="F75" i="1"/>
  <c r="E75" i="1"/>
  <c r="Q75" i="1" s="1"/>
  <c r="P74" i="1"/>
  <c r="O74" i="1"/>
  <c r="N74" i="1"/>
  <c r="M74" i="1"/>
  <c r="L74" i="1"/>
  <c r="K74" i="1"/>
  <c r="J74" i="1"/>
  <c r="I74" i="1"/>
  <c r="H74" i="1"/>
  <c r="G74" i="1"/>
  <c r="F74" i="1"/>
  <c r="E74" i="1"/>
  <c r="P73" i="1"/>
  <c r="O73" i="1"/>
  <c r="N73" i="1"/>
  <c r="M73" i="1"/>
  <c r="L73" i="1"/>
  <c r="K73" i="1"/>
  <c r="J73" i="1"/>
  <c r="I73" i="1"/>
  <c r="H73" i="1"/>
  <c r="G73" i="1"/>
  <c r="F73" i="1"/>
  <c r="E73" i="1"/>
  <c r="P72" i="1"/>
  <c r="O72" i="1"/>
  <c r="N72" i="1"/>
  <c r="M72" i="1"/>
  <c r="L72" i="1"/>
  <c r="K72" i="1"/>
  <c r="J72" i="1"/>
  <c r="I72" i="1"/>
  <c r="H72" i="1"/>
  <c r="G72" i="1"/>
  <c r="F72" i="1"/>
  <c r="E72" i="1"/>
  <c r="P71" i="1"/>
  <c r="O71" i="1"/>
  <c r="N71" i="1"/>
  <c r="M71" i="1"/>
  <c r="L71" i="1"/>
  <c r="K71" i="1"/>
  <c r="J71" i="1"/>
  <c r="I71" i="1"/>
  <c r="H71" i="1"/>
  <c r="G71" i="1"/>
  <c r="F71" i="1"/>
  <c r="E71" i="1"/>
  <c r="P70" i="1"/>
  <c r="O70" i="1"/>
  <c r="N70" i="1"/>
  <c r="M70" i="1"/>
  <c r="L70" i="1"/>
  <c r="K70" i="1"/>
  <c r="J70" i="1"/>
  <c r="I70" i="1"/>
  <c r="H70" i="1"/>
  <c r="G70" i="1"/>
  <c r="F70" i="1"/>
  <c r="E70" i="1"/>
  <c r="Q70" i="1" s="1"/>
  <c r="P69" i="1"/>
  <c r="O69" i="1"/>
  <c r="N69" i="1"/>
  <c r="M69" i="1"/>
  <c r="L69" i="1"/>
  <c r="K69" i="1"/>
  <c r="J69" i="1"/>
  <c r="I69" i="1"/>
  <c r="H69" i="1"/>
  <c r="G69" i="1"/>
  <c r="F69" i="1"/>
  <c r="E69" i="1"/>
  <c r="Q69" i="1" s="1"/>
  <c r="P68" i="1"/>
  <c r="O68" i="1"/>
  <c r="N68" i="1"/>
  <c r="M68" i="1"/>
  <c r="L68" i="1"/>
  <c r="K68" i="1"/>
  <c r="J68" i="1"/>
  <c r="I68" i="1"/>
  <c r="H68" i="1"/>
  <c r="G68" i="1"/>
  <c r="F68" i="1"/>
  <c r="E68" i="1"/>
  <c r="P67" i="1"/>
  <c r="O67" i="1"/>
  <c r="N67" i="1"/>
  <c r="M67" i="1"/>
  <c r="L67" i="1"/>
  <c r="K67" i="1"/>
  <c r="J67" i="1"/>
  <c r="I67" i="1"/>
  <c r="H67" i="1"/>
  <c r="G67" i="1"/>
  <c r="F67" i="1"/>
  <c r="E67" i="1"/>
  <c r="P66" i="1"/>
  <c r="Q66" i="1" s="1"/>
  <c r="Q65" i="1"/>
  <c r="Q64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P59" i="1"/>
  <c r="O59" i="1"/>
  <c r="N59" i="1"/>
  <c r="M59" i="1"/>
  <c r="L59" i="1"/>
  <c r="K59" i="1"/>
  <c r="J59" i="1"/>
  <c r="I59" i="1"/>
  <c r="H59" i="1"/>
  <c r="G59" i="1"/>
  <c r="F59" i="1"/>
  <c r="E59" i="1"/>
  <c r="P58" i="1"/>
  <c r="O58" i="1"/>
  <c r="N58" i="1"/>
  <c r="M58" i="1"/>
  <c r="L58" i="1"/>
  <c r="K58" i="1"/>
  <c r="J58" i="1"/>
  <c r="I58" i="1"/>
  <c r="H58" i="1"/>
  <c r="G58" i="1"/>
  <c r="F58" i="1"/>
  <c r="E58" i="1"/>
  <c r="P57" i="1"/>
  <c r="O57" i="1"/>
  <c r="N57" i="1"/>
  <c r="M57" i="1"/>
  <c r="L57" i="1"/>
  <c r="K57" i="1"/>
  <c r="J57" i="1"/>
  <c r="I57" i="1"/>
  <c r="H57" i="1"/>
  <c r="G57" i="1"/>
  <c r="F57" i="1"/>
  <c r="E57" i="1"/>
  <c r="P56" i="1"/>
  <c r="O56" i="1"/>
  <c r="N56" i="1"/>
  <c r="M56" i="1"/>
  <c r="L56" i="1"/>
  <c r="K56" i="1"/>
  <c r="J56" i="1"/>
  <c r="I56" i="1"/>
  <c r="H56" i="1"/>
  <c r="G56" i="1"/>
  <c r="F56" i="1"/>
  <c r="E56" i="1"/>
  <c r="P55" i="1"/>
  <c r="O55" i="1"/>
  <c r="N55" i="1"/>
  <c r="M55" i="1"/>
  <c r="L55" i="1"/>
  <c r="K55" i="1"/>
  <c r="J55" i="1"/>
  <c r="I55" i="1"/>
  <c r="H55" i="1"/>
  <c r="G55" i="1"/>
  <c r="F55" i="1"/>
  <c r="E55" i="1"/>
  <c r="Q55" i="1" s="1"/>
  <c r="P54" i="1"/>
  <c r="O54" i="1"/>
  <c r="N54" i="1"/>
  <c r="M54" i="1"/>
  <c r="L54" i="1"/>
  <c r="K54" i="1"/>
  <c r="J54" i="1"/>
  <c r="I54" i="1"/>
  <c r="H54" i="1"/>
  <c r="G54" i="1"/>
  <c r="F54" i="1"/>
  <c r="E54" i="1"/>
  <c r="Q54" i="1" s="1"/>
  <c r="P53" i="1"/>
  <c r="O53" i="1"/>
  <c r="N53" i="1"/>
  <c r="M53" i="1"/>
  <c r="L53" i="1"/>
  <c r="K53" i="1"/>
  <c r="J53" i="1"/>
  <c r="I53" i="1"/>
  <c r="H53" i="1"/>
  <c r="G53" i="1"/>
  <c r="F53" i="1"/>
  <c r="E53" i="1"/>
  <c r="P52" i="1"/>
  <c r="O52" i="1"/>
  <c r="N52" i="1"/>
  <c r="M52" i="1"/>
  <c r="L52" i="1"/>
  <c r="K52" i="1"/>
  <c r="J52" i="1"/>
  <c r="I52" i="1"/>
  <c r="H52" i="1"/>
  <c r="G52" i="1"/>
  <c r="F52" i="1"/>
  <c r="E52" i="1"/>
  <c r="Q52" i="1" s="1"/>
  <c r="P51" i="1"/>
  <c r="O51" i="1"/>
  <c r="N51" i="1"/>
  <c r="M51" i="1"/>
  <c r="L51" i="1"/>
  <c r="K51" i="1"/>
  <c r="J51" i="1"/>
  <c r="I51" i="1"/>
  <c r="H51" i="1"/>
  <c r="G51" i="1"/>
  <c r="F51" i="1"/>
  <c r="E51" i="1"/>
  <c r="Q51" i="1" s="1"/>
  <c r="P50" i="1"/>
  <c r="O50" i="1"/>
  <c r="N50" i="1"/>
  <c r="M50" i="1"/>
  <c r="L50" i="1"/>
  <c r="K50" i="1"/>
  <c r="J50" i="1"/>
  <c r="I50" i="1"/>
  <c r="H50" i="1"/>
  <c r="G50" i="1"/>
  <c r="F50" i="1"/>
  <c r="E50" i="1"/>
  <c r="P49" i="1"/>
  <c r="O49" i="1"/>
  <c r="N49" i="1"/>
  <c r="M49" i="1"/>
  <c r="L49" i="1"/>
  <c r="K49" i="1"/>
  <c r="J49" i="1"/>
  <c r="I49" i="1"/>
  <c r="H49" i="1"/>
  <c r="G49" i="1"/>
  <c r="F49" i="1"/>
  <c r="E49" i="1"/>
  <c r="Q49" i="1" s="1"/>
  <c r="P48" i="1"/>
  <c r="O48" i="1"/>
  <c r="N48" i="1"/>
  <c r="M48" i="1"/>
  <c r="L48" i="1"/>
  <c r="K48" i="1"/>
  <c r="J48" i="1"/>
  <c r="I48" i="1"/>
  <c r="H48" i="1"/>
  <c r="G48" i="1"/>
  <c r="F48" i="1"/>
  <c r="E48" i="1"/>
  <c r="Q48" i="1" s="1"/>
  <c r="P47" i="1"/>
  <c r="O47" i="1"/>
  <c r="N47" i="1"/>
  <c r="M47" i="1"/>
  <c r="L47" i="1"/>
  <c r="K47" i="1"/>
  <c r="J47" i="1"/>
  <c r="I47" i="1"/>
  <c r="H47" i="1"/>
  <c r="G47" i="1"/>
  <c r="F47" i="1"/>
  <c r="E47" i="1"/>
  <c r="Q47" i="1" s="1"/>
  <c r="P46" i="1"/>
  <c r="Q46" i="1" s="1"/>
  <c r="Q45" i="1"/>
  <c r="M44" i="1"/>
  <c r="Q44" i="1" s="1"/>
  <c r="F43" i="1"/>
  <c r="E43" i="1"/>
  <c r="P42" i="1"/>
  <c r="O42" i="1"/>
  <c r="N42" i="1"/>
  <c r="M42" i="1"/>
  <c r="L42" i="1"/>
  <c r="K42" i="1"/>
  <c r="J42" i="1"/>
  <c r="I42" i="1"/>
  <c r="H42" i="1"/>
  <c r="G42" i="1"/>
  <c r="F42" i="1"/>
  <c r="E42" i="1"/>
  <c r="P41" i="1"/>
  <c r="O41" i="1"/>
  <c r="N41" i="1"/>
  <c r="M41" i="1"/>
  <c r="L41" i="1"/>
  <c r="K41" i="1"/>
  <c r="J41" i="1"/>
  <c r="I41" i="1"/>
  <c r="H41" i="1"/>
  <c r="G41" i="1"/>
  <c r="F41" i="1"/>
  <c r="E41" i="1"/>
  <c r="P40" i="1"/>
  <c r="O40" i="1"/>
  <c r="N40" i="1"/>
  <c r="M40" i="1"/>
  <c r="L40" i="1"/>
  <c r="K40" i="1"/>
  <c r="J40" i="1"/>
  <c r="I40" i="1"/>
  <c r="H40" i="1"/>
  <c r="G40" i="1"/>
  <c r="F40" i="1"/>
  <c r="E40" i="1"/>
  <c r="P39" i="1"/>
  <c r="O39" i="1"/>
  <c r="N39" i="1"/>
  <c r="M39" i="1"/>
  <c r="L39" i="1"/>
  <c r="K39" i="1"/>
  <c r="J39" i="1"/>
  <c r="I39" i="1"/>
  <c r="H39" i="1"/>
  <c r="G39" i="1"/>
  <c r="F39" i="1"/>
  <c r="E39" i="1"/>
  <c r="P38" i="1"/>
  <c r="O38" i="1"/>
  <c r="N38" i="1"/>
  <c r="M38" i="1"/>
  <c r="L38" i="1"/>
  <c r="K38" i="1"/>
  <c r="J38" i="1"/>
  <c r="I38" i="1"/>
  <c r="H38" i="1"/>
  <c r="G38" i="1"/>
  <c r="F38" i="1"/>
  <c r="E38" i="1"/>
  <c r="P37" i="1"/>
  <c r="O37" i="1"/>
  <c r="N37" i="1"/>
  <c r="M37" i="1"/>
  <c r="L37" i="1"/>
  <c r="K37" i="1"/>
  <c r="J37" i="1"/>
  <c r="I37" i="1"/>
  <c r="H37" i="1"/>
  <c r="G37" i="1"/>
  <c r="F37" i="1"/>
  <c r="E37" i="1"/>
  <c r="P36" i="1"/>
  <c r="O36" i="1"/>
  <c r="N36" i="1"/>
  <c r="M36" i="1"/>
  <c r="L36" i="1"/>
  <c r="K36" i="1"/>
  <c r="J36" i="1"/>
  <c r="I36" i="1"/>
  <c r="H36" i="1"/>
  <c r="G36" i="1"/>
  <c r="F36" i="1"/>
  <c r="E36" i="1"/>
  <c r="P35" i="1"/>
  <c r="O35" i="1"/>
  <c r="N35" i="1"/>
  <c r="M35" i="1"/>
  <c r="L35" i="1"/>
  <c r="K35" i="1"/>
  <c r="J35" i="1"/>
  <c r="I35" i="1"/>
  <c r="H35" i="1"/>
  <c r="G35" i="1"/>
  <c r="F35" i="1"/>
  <c r="E35" i="1"/>
  <c r="P34" i="1"/>
  <c r="O34" i="1"/>
  <c r="N34" i="1"/>
  <c r="M34" i="1"/>
  <c r="L34" i="1"/>
  <c r="K34" i="1"/>
  <c r="J34" i="1"/>
  <c r="I34" i="1"/>
  <c r="H34" i="1"/>
  <c r="G34" i="1"/>
  <c r="F34" i="1"/>
  <c r="E34" i="1"/>
  <c r="P33" i="1"/>
  <c r="O33" i="1"/>
  <c r="N33" i="1"/>
  <c r="M33" i="1"/>
  <c r="L33" i="1"/>
  <c r="K33" i="1"/>
  <c r="J33" i="1"/>
  <c r="I33" i="1"/>
  <c r="H33" i="1"/>
  <c r="G33" i="1"/>
  <c r="F33" i="1"/>
  <c r="E33" i="1"/>
  <c r="P32" i="1"/>
  <c r="O32" i="1"/>
  <c r="N32" i="1"/>
  <c r="M32" i="1"/>
  <c r="L32" i="1"/>
  <c r="K32" i="1"/>
  <c r="J32" i="1"/>
  <c r="I32" i="1"/>
  <c r="H32" i="1"/>
  <c r="G32" i="1"/>
  <c r="F32" i="1"/>
  <c r="E32" i="1"/>
  <c r="Q32" i="1" s="1"/>
  <c r="P31" i="1"/>
  <c r="O31" i="1"/>
  <c r="N31" i="1"/>
  <c r="M31" i="1"/>
  <c r="L31" i="1"/>
  <c r="K31" i="1"/>
  <c r="J31" i="1"/>
  <c r="I31" i="1"/>
  <c r="H31" i="1"/>
  <c r="G31" i="1"/>
  <c r="F31" i="1"/>
  <c r="E31" i="1"/>
  <c r="Q31" i="1" s="1"/>
  <c r="P30" i="1"/>
  <c r="O30" i="1"/>
  <c r="N30" i="1"/>
  <c r="M30" i="1"/>
  <c r="L30" i="1"/>
  <c r="K30" i="1"/>
  <c r="J30" i="1"/>
  <c r="I30" i="1"/>
  <c r="H30" i="1"/>
  <c r="G30" i="1"/>
  <c r="F30" i="1"/>
  <c r="E30" i="1"/>
  <c r="P29" i="1"/>
  <c r="O29" i="1"/>
  <c r="N29" i="1"/>
  <c r="M29" i="1"/>
  <c r="L29" i="1"/>
  <c r="K29" i="1"/>
  <c r="J29" i="1"/>
  <c r="I29" i="1"/>
  <c r="H29" i="1"/>
  <c r="G29" i="1"/>
  <c r="F29" i="1"/>
  <c r="E29" i="1"/>
  <c r="P28" i="1"/>
  <c r="O28" i="1"/>
  <c r="N28" i="1"/>
  <c r="M28" i="1"/>
  <c r="L28" i="1"/>
  <c r="K28" i="1"/>
  <c r="J28" i="1"/>
  <c r="I28" i="1"/>
  <c r="H28" i="1"/>
  <c r="G28" i="1"/>
  <c r="F28" i="1"/>
  <c r="E28" i="1"/>
  <c r="P27" i="1"/>
  <c r="O27" i="1"/>
  <c r="N27" i="1"/>
  <c r="M27" i="1"/>
  <c r="L27" i="1"/>
  <c r="K27" i="1"/>
  <c r="J27" i="1"/>
  <c r="I27" i="1"/>
  <c r="H27" i="1"/>
  <c r="G27" i="1"/>
  <c r="F27" i="1"/>
  <c r="E27" i="1"/>
  <c r="P26" i="1"/>
  <c r="Q25" i="1"/>
  <c r="Q24" i="1"/>
  <c r="F23" i="1"/>
  <c r="E23" i="1"/>
  <c r="P22" i="1"/>
  <c r="O22" i="1"/>
  <c r="N22" i="1"/>
  <c r="M22" i="1"/>
  <c r="L22" i="1"/>
  <c r="K22" i="1"/>
  <c r="J22" i="1"/>
  <c r="I22" i="1"/>
  <c r="H22" i="1"/>
  <c r="G22" i="1"/>
  <c r="F22" i="1"/>
  <c r="E22" i="1"/>
  <c r="P21" i="1"/>
  <c r="O21" i="1"/>
  <c r="N21" i="1"/>
  <c r="M21" i="1"/>
  <c r="L21" i="1"/>
  <c r="K21" i="1"/>
  <c r="J21" i="1"/>
  <c r="I21" i="1"/>
  <c r="H21" i="1"/>
  <c r="G21" i="1"/>
  <c r="F21" i="1"/>
  <c r="E21" i="1"/>
  <c r="P20" i="1"/>
  <c r="O20" i="1"/>
  <c r="N20" i="1"/>
  <c r="M20" i="1"/>
  <c r="L20" i="1"/>
  <c r="K20" i="1"/>
  <c r="J20" i="1"/>
  <c r="I20" i="1"/>
  <c r="H20" i="1"/>
  <c r="G20" i="1"/>
  <c r="F20" i="1"/>
  <c r="E20" i="1"/>
  <c r="P19" i="1"/>
  <c r="O19" i="1"/>
  <c r="N19" i="1"/>
  <c r="M19" i="1"/>
  <c r="L19" i="1"/>
  <c r="K19" i="1"/>
  <c r="J19" i="1"/>
  <c r="I19" i="1"/>
  <c r="H19" i="1"/>
  <c r="G19" i="1"/>
  <c r="F19" i="1"/>
  <c r="E19" i="1"/>
  <c r="P18" i="1"/>
  <c r="O18" i="1"/>
  <c r="N18" i="1"/>
  <c r="M18" i="1"/>
  <c r="L18" i="1"/>
  <c r="K18" i="1"/>
  <c r="J18" i="1"/>
  <c r="I18" i="1"/>
  <c r="H18" i="1"/>
  <c r="G18" i="1"/>
  <c r="F18" i="1"/>
  <c r="E18" i="1"/>
  <c r="P17" i="1"/>
  <c r="O17" i="1"/>
  <c r="N17" i="1"/>
  <c r="M17" i="1"/>
  <c r="L17" i="1"/>
  <c r="K17" i="1"/>
  <c r="J17" i="1"/>
  <c r="I17" i="1"/>
  <c r="H17" i="1"/>
  <c r="G17" i="1"/>
  <c r="F17" i="1"/>
  <c r="E17" i="1"/>
  <c r="P16" i="1"/>
  <c r="O16" i="1"/>
  <c r="N16" i="1"/>
  <c r="M16" i="1"/>
  <c r="L16" i="1"/>
  <c r="K16" i="1"/>
  <c r="J16" i="1"/>
  <c r="I16" i="1"/>
  <c r="H16" i="1"/>
  <c r="G16" i="1"/>
  <c r="F16" i="1"/>
  <c r="E16" i="1"/>
  <c r="Q16" i="1" s="1"/>
  <c r="P15" i="1"/>
  <c r="O15" i="1"/>
  <c r="N15" i="1"/>
  <c r="M15" i="1"/>
  <c r="L15" i="1"/>
  <c r="K15" i="1"/>
  <c r="J15" i="1"/>
  <c r="I15" i="1"/>
  <c r="H15" i="1"/>
  <c r="G15" i="1"/>
  <c r="F15" i="1"/>
  <c r="E15" i="1"/>
  <c r="Q15" i="1" s="1"/>
  <c r="P14" i="1"/>
  <c r="O14" i="1"/>
  <c r="N14" i="1"/>
  <c r="M14" i="1"/>
  <c r="L14" i="1"/>
  <c r="K14" i="1"/>
  <c r="J14" i="1"/>
  <c r="I14" i="1"/>
  <c r="H14" i="1"/>
  <c r="G14" i="1"/>
  <c r="F14" i="1"/>
  <c r="E14" i="1"/>
  <c r="P13" i="1"/>
  <c r="O13" i="1"/>
  <c r="N13" i="1"/>
  <c r="M13" i="1"/>
  <c r="L13" i="1"/>
  <c r="K13" i="1"/>
  <c r="J13" i="1"/>
  <c r="I13" i="1"/>
  <c r="H13" i="1"/>
  <c r="G13" i="1"/>
  <c r="F13" i="1"/>
  <c r="E13" i="1"/>
  <c r="Q13" i="1" s="1"/>
  <c r="P12" i="1"/>
  <c r="O12" i="1"/>
  <c r="N12" i="1"/>
  <c r="M12" i="1"/>
  <c r="L12" i="1"/>
  <c r="K12" i="1"/>
  <c r="J12" i="1"/>
  <c r="I12" i="1"/>
  <c r="H12" i="1"/>
  <c r="G12" i="1"/>
  <c r="F12" i="1"/>
  <c r="E12" i="1"/>
  <c r="P11" i="1"/>
  <c r="O11" i="1"/>
  <c r="N11" i="1"/>
  <c r="M11" i="1"/>
  <c r="L11" i="1"/>
  <c r="K11" i="1"/>
  <c r="J11" i="1"/>
  <c r="I11" i="1"/>
  <c r="H11" i="1"/>
  <c r="G11" i="1"/>
  <c r="F11" i="1"/>
  <c r="E11" i="1"/>
  <c r="Q11" i="1" s="1"/>
  <c r="P10" i="1"/>
  <c r="O10" i="1"/>
  <c r="N10" i="1"/>
  <c r="M10" i="1"/>
  <c r="L10" i="1"/>
  <c r="K10" i="1"/>
  <c r="J10" i="1"/>
  <c r="I10" i="1"/>
  <c r="H10" i="1"/>
  <c r="G10" i="1"/>
  <c r="F10" i="1"/>
  <c r="E10" i="1"/>
  <c r="Q10" i="1" s="1"/>
  <c r="P9" i="1"/>
  <c r="O9" i="1"/>
  <c r="N9" i="1"/>
  <c r="M9" i="1"/>
  <c r="L9" i="1"/>
  <c r="K9" i="1"/>
  <c r="J9" i="1"/>
  <c r="I9" i="1"/>
  <c r="H9" i="1"/>
  <c r="G9" i="1"/>
  <c r="F9" i="1"/>
  <c r="E9" i="1"/>
  <c r="Q9" i="1" s="1"/>
  <c r="P8" i="1"/>
  <c r="O8" i="1"/>
  <c r="N8" i="1"/>
  <c r="M8" i="1"/>
  <c r="L8" i="1"/>
  <c r="K8" i="1"/>
  <c r="J8" i="1"/>
  <c r="I8" i="1"/>
  <c r="H8" i="1"/>
  <c r="G8" i="1"/>
  <c r="F8" i="1"/>
  <c r="E8" i="1"/>
  <c r="P7" i="1"/>
  <c r="O7" i="1"/>
  <c r="N7" i="1"/>
  <c r="M7" i="1"/>
  <c r="L7" i="1"/>
  <c r="K7" i="1"/>
  <c r="J7" i="1"/>
  <c r="I7" i="1"/>
  <c r="H7" i="1"/>
  <c r="G7" i="1"/>
  <c r="F7" i="1"/>
  <c r="E7" i="1"/>
  <c r="Q7" i="1" s="1"/>
  <c r="P6" i="1"/>
  <c r="O6" i="1"/>
  <c r="N6" i="1"/>
  <c r="M6" i="1"/>
  <c r="L6" i="1"/>
  <c r="K6" i="1"/>
  <c r="J6" i="1"/>
  <c r="I6" i="1"/>
  <c r="H6" i="1"/>
  <c r="G6" i="1"/>
  <c r="F6" i="1"/>
  <c r="E6" i="1"/>
  <c r="P5" i="1"/>
  <c r="O5" i="1"/>
  <c r="N5" i="1"/>
  <c r="M5" i="1"/>
  <c r="L5" i="1"/>
  <c r="K5" i="1"/>
  <c r="J5" i="1"/>
  <c r="I5" i="1"/>
  <c r="H5" i="1"/>
  <c r="G5" i="1"/>
  <c r="F5" i="1"/>
  <c r="E5" i="1"/>
  <c r="P4" i="1"/>
  <c r="O4" i="1"/>
  <c r="N4" i="1"/>
  <c r="M4" i="1"/>
  <c r="L4" i="1"/>
  <c r="K4" i="1"/>
  <c r="J4" i="1"/>
  <c r="I4" i="1"/>
  <c r="H4" i="1"/>
  <c r="G4" i="1"/>
  <c r="F4" i="1"/>
  <c r="E4" i="1"/>
  <c r="Q110" i="1" l="1"/>
  <c r="Q63" i="1"/>
  <c r="F112" i="1"/>
  <c r="Q104" i="1"/>
  <c r="Q105" i="1"/>
  <c r="Q106" i="1"/>
  <c r="Q107" i="1"/>
  <c r="Q108" i="1"/>
  <c r="Q109" i="1"/>
  <c r="Q37" i="1"/>
  <c r="Q83" i="1"/>
  <c r="Q38" i="1"/>
  <c r="Q17" i="1"/>
  <c r="Q19" i="1"/>
  <c r="Q21" i="1"/>
  <c r="Q22" i="1"/>
  <c r="Q53" i="1"/>
  <c r="G112" i="1"/>
  <c r="K112" i="1"/>
  <c r="J112" i="1"/>
  <c r="L112" i="1"/>
  <c r="Q57" i="1"/>
  <c r="Q59" i="1"/>
  <c r="M112" i="1"/>
  <c r="F113" i="1"/>
  <c r="N112" i="1"/>
  <c r="Q4" i="1"/>
  <c r="Q5" i="1"/>
  <c r="M113" i="1"/>
  <c r="Q26" i="1"/>
  <c r="Q43" i="1"/>
  <c r="K113" i="1"/>
  <c r="Q27" i="1"/>
  <c r="Q33" i="1"/>
  <c r="Q39" i="1"/>
  <c r="Q71" i="1"/>
  <c r="Q77" i="1"/>
  <c r="Q97" i="1"/>
  <c r="Q6" i="1"/>
  <c r="Q28" i="1"/>
  <c r="Q34" i="1"/>
  <c r="Q40" i="1"/>
  <c r="Q72" i="1"/>
  <c r="Q78" i="1"/>
  <c r="N113" i="1"/>
  <c r="Q12" i="1"/>
  <c r="Q18" i="1"/>
  <c r="Q23" i="1"/>
  <c r="Q50" i="1"/>
  <c r="Q56" i="1"/>
  <c r="Q29" i="1"/>
  <c r="Q35" i="1"/>
  <c r="Q41" i="1"/>
  <c r="Q67" i="1"/>
  <c r="Q73" i="1"/>
  <c r="Q79" i="1"/>
  <c r="Q30" i="1"/>
  <c r="Q36" i="1"/>
  <c r="Q42" i="1"/>
  <c r="Q68" i="1"/>
  <c r="Q74" i="1"/>
  <c r="Q80" i="1"/>
  <c r="Q8" i="1"/>
  <c r="Q14" i="1"/>
  <c r="Q20" i="1"/>
  <c r="Q58" i="1"/>
</calcChain>
</file>

<file path=xl/sharedStrings.xml><?xml version="1.0" encoding="utf-8"?>
<sst xmlns="http://schemas.openxmlformats.org/spreadsheetml/2006/main" count="139" uniqueCount="85">
  <si>
    <t>단위</t>
    <phoneticPr fontId="2" type="noConversion"/>
  </si>
  <si>
    <t>년도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</si>
  <si>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</si>
  <si>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</si>
  <si>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</si>
  <si>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</si>
  <si>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</si>
  <si>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</si>
  <si>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</si>
  <si>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</si>
  <si>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</si>
  <si>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</si>
  <si>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</si>
  <si>
    <t>12월</t>
  </si>
  <si>
    <t>평균</t>
    <phoneticPr fontId="2" type="noConversion"/>
  </si>
  <si>
    <t>백만원</t>
    <phoneticPr fontId="2" type="noConversion"/>
  </si>
  <si>
    <t>'07</t>
  </si>
  <si>
    <t>'08</t>
    <phoneticPr fontId="2" type="noConversion"/>
  </si>
  <si>
    <t>'09</t>
    <phoneticPr fontId="2" type="noConversion"/>
  </si>
  <si>
    <t>'10</t>
  </si>
  <si>
    <t>'11</t>
  </si>
  <si>
    <t>12</t>
    <phoneticPr fontId="2" type="noConversion"/>
  </si>
  <si>
    <t>'13</t>
    <phoneticPr fontId="2" type="noConversion"/>
  </si>
  <si>
    <t>'14</t>
    <phoneticPr fontId="2" type="noConversion"/>
  </si>
  <si>
    <t>'15</t>
    <phoneticPr fontId="2" type="noConversion"/>
  </si>
  <si>
    <t>'16</t>
  </si>
  <si>
    <t>'17</t>
  </si>
  <si>
    <t>'18</t>
  </si>
  <si>
    <t>'19</t>
    <phoneticPr fontId="2" type="noConversion"/>
  </si>
  <si>
    <t>'20</t>
  </si>
  <si>
    <t>'21</t>
  </si>
  <si>
    <t>'22</t>
  </si>
  <si>
    <t>'23</t>
  </si>
  <si>
    <t>'24</t>
  </si>
  <si>
    <t>'25</t>
  </si>
  <si>
    <t>'26</t>
  </si>
  <si>
    <t>근무일수</t>
    <phoneticPr fontId="2" type="noConversion"/>
  </si>
  <si>
    <t>일</t>
    <phoneticPr fontId="2" type="noConversion"/>
  </si>
  <si>
    <t>'08</t>
    <phoneticPr fontId="2" type="noConversion"/>
  </si>
  <si>
    <t>'09</t>
    <phoneticPr fontId="2" type="noConversion"/>
  </si>
  <si>
    <t>"12</t>
    <phoneticPr fontId="2" type="noConversion"/>
  </si>
  <si>
    <t>'13</t>
    <phoneticPr fontId="2" type="noConversion"/>
  </si>
  <si>
    <t>'14</t>
    <phoneticPr fontId="2" type="noConversion"/>
  </si>
  <si>
    <t>'15</t>
    <phoneticPr fontId="2" type="noConversion"/>
  </si>
  <si>
    <t>'18</t>
    <phoneticPr fontId="2" type="noConversion"/>
  </si>
  <si>
    <t>'19</t>
    <phoneticPr fontId="2" type="noConversion"/>
  </si>
  <si>
    <t>총 생산량</t>
    <phoneticPr fontId="2" type="noConversion"/>
  </si>
  <si>
    <t>ton/월</t>
    <phoneticPr fontId="2" type="noConversion"/>
  </si>
  <si>
    <t>'08</t>
    <phoneticPr fontId="2" type="noConversion"/>
  </si>
  <si>
    <t>'09</t>
    <phoneticPr fontId="2" type="noConversion"/>
  </si>
  <si>
    <t>12</t>
    <phoneticPr fontId="2" type="noConversion"/>
  </si>
  <si>
    <t>'13</t>
    <phoneticPr fontId="2" type="noConversion"/>
  </si>
  <si>
    <t>'14</t>
    <phoneticPr fontId="2" type="noConversion"/>
  </si>
  <si>
    <t>'15</t>
    <phoneticPr fontId="2" type="noConversion"/>
  </si>
  <si>
    <t>'19</t>
    <phoneticPr fontId="2" type="noConversion"/>
  </si>
  <si>
    <t xml:space="preserve">ton/월 </t>
    <phoneticPr fontId="2" type="noConversion"/>
  </si>
  <si>
    <t>'08</t>
    <phoneticPr fontId="2" type="noConversion"/>
  </si>
  <si>
    <t>'09</t>
    <phoneticPr fontId="2" type="noConversion"/>
  </si>
  <si>
    <t>'15</t>
    <phoneticPr fontId="2" type="noConversion"/>
  </si>
  <si>
    <t>'19</t>
    <phoneticPr fontId="2" type="noConversion"/>
  </si>
  <si>
    <t>'20</t>
    <phoneticPr fontId="2" type="noConversion"/>
  </si>
  <si>
    <t>'07</t>
    <phoneticPr fontId="2" type="noConversion"/>
  </si>
  <si>
    <t>9.4%↑</t>
    <phoneticPr fontId="2" type="noConversion"/>
  </si>
  <si>
    <t>6.9%↑</t>
    <phoneticPr fontId="2" type="noConversion"/>
  </si>
  <si>
    <t>5.9%↑</t>
    <phoneticPr fontId="2" type="noConversion"/>
  </si>
  <si>
    <t>'11</t>
    <phoneticPr fontId="2" type="noConversion"/>
  </si>
  <si>
    <t>6.3%↑</t>
    <phoneticPr fontId="2" type="noConversion"/>
  </si>
  <si>
    <t>6.6% ↑</t>
    <phoneticPr fontId="2" type="noConversion"/>
  </si>
  <si>
    <t>'12</t>
  </si>
  <si>
    <t>6.0%↑</t>
    <phoneticPr fontId="2" type="noConversion"/>
  </si>
  <si>
    <t>'13</t>
    <phoneticPr fontId="2" type="noConversion"/>
  </si>
  <si>
    <t>4.4%↑</t>
    <phoneticPr fontId="2" type="noConversion"/>
  </si>
  <si>
    <t>6.4%↑</t>
    <phoneticPr fontId="2" type="noConversion"/>
  </si>
  <si>
    <t>'16</t>
    <phoneticPr fontId="2" type="noConversion"/>
  </si>
  <si>
    <t>'17</t>
    <phoneticPr fontId="2" type="noConversion"/>
  </si>
  <si>
    <t>[년도별 전력비 현황 ]</t>
    <phoneticPr fontId="2" type="noConversion"/>
  </si>
  <si>
    <t>비고</t>
    <phoneticPr fontId="2" type="noConversion"/>
  </si>
  <si>
    <t xml:space="preserve"> - '23년 5월 ~ : #5호기 비가동
 - '25년 9월 ~ : #1호기 비가동</t>
    <phoneticPr fontId="2" type="noConversion"/>
  </si>
  <si>
    <t>천원/ton</t>
    <phoneticPr fontId="2" type="noConversion"/>
  </si>
  <si>
    <t>총 전기 요금</t>
    <phoneticPr fontId="2" type="noConversion"/>
  </si>
  <si>
    <t>단위당 전기사용량</t>
    <phoneticPr fontId="2" type="noConversion"/>
  </si>
  <si>
    <t>단위당 전기 요금</t>
    <phoneticPr fontId="2" type="noConversion"/>
  </si>
  <si>
    <t xml:space="preserve"> - '25년 12월 ~ : 연구 6,7호기 샘플 양산 확대 시작
   (연구1~7호기 = 양산 1라인 수준 전기 사용 中)
 - 계절별 전기요금 차</t>
    <phoneticPr fontId="2" type="noConversion"/>
  </si>
  <si>
    <t>kwh/ton</t>
    <phoneticPr fontId="2" type="noConversion"/>
  </si>
  <si>
    <t>[산업용 전기요금 단가 변화]
 - '23년 : 153.7원/Kwh
 - '24년 : 168.2원/Kwh
 - '25년 : 182.8원/Kwh
 - '26년 : 전기요금 체제 개편안 시행(별첨, 4/16~)
[ 단가 인상 시점]
 - '23년 11월 ~ : 10.6원/Kwh 인상
 - '24년 10월말~ : 9.7% 인상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</si>
</sst>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#,##0.00_ "/>
    <numFmt numFmtId="178" formatCode="0.0_);[Red]\(0.0\)"/>
    <numFmt numFmtId="179" formatCode="_-* #,##0.0000_-;\-* #,##0.0000_-;_-* &quot;-&quot;??_-;_-@_-"/>
    <numFmt numFmtId="180" formatCode="#,##0.0_ "/>
    <numFmt numFmtId="181" formatCode="#,##0.0_);[Red]\(#,##0.0\)"/>
    <numFmt numFmtId="182" formatCode="_-* #,##0.0_-;\-* #,##0.0_-;_-* &quot;-&quot;_-;_-@_-"/>
    <numFmt numFmtId="183" formatCode="_-* #,##0.00000_-;\-* #,##0.00000_-;_-* &quot;-&quot;_-;_-@_-"/>
    <numFmt numFmtId="184" formatCode="#,##0_ "/>
    <numFmt numFmtId="185" formatCode="0.000_);[Red]\(0.000\)"/>
    <numFmt numFmtId="186" formatCode="0_);[Red]\(0\)"/>
  </numFmts>
  <fonts count="1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4"/>
      <name val="돋움"/>
      <family val="3"/>
      <charset val="129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indexed="10"/>
      <name val="맑은 고딕"/>
      <family val="3"/>
      <charset val="129"/>
      <scheme val="minor"/>
    </font>
    <font>
      <sz val="16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7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49" fontId="1" fillId="2" borderId="0" xfId="1" applyNumberFormat="1" applyFont="1" applyFill="1" applyAlignment="1">
      <alignment horizontal="center" vertical="center"/>
    </xf>
    <xf numFmtId="182" fontId="0" fillId="2" borderId="0" xfId="0" applyNumberFormat="1" applyFill="1" applyAlignment="1">
      <alignment horizontal="center" vertical="center"/>
    </xf>
    <xf numFmtId="183" fontId="0" fillId="2" borderId="0" xfId="0" applyNumberFormat="1" applyFill="1" applyAlignment="1">
      <alignment horizontal="center" vertical="center"/>
    </xf>
    <xf numFmtId="41" fontId="3" fillId="2" borderId="0" xfId="1" applyFont="1" applyFill="1" applyAlignment="1">
      <alignment horizontal="center" vertical="center"/>
    </xf>
    <xf numFmtId="41" fontId="3" fillId="2" borderId="0" xfId="1" applyFont="1" applyFill="1" applyBorder="1" applyAlignment="1">
      <alignment horizontal="center" vertical="center"/>
    </xf>
    <xf numFmtId="41" fontId="2" fillId="2" borderId="0" xfId="0" applyNumberFormat="1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41" fontId="5" fillId="2" borderId="11" xfId="1" quotePrefix="1" applyFont="1" applyFill="1" applyBorder="1" applyAlignment="1">
      <alignment horizontal="center" vertical="center"/>
    </xf>
    <xf numFmtId="176" fontId="5" fillId="2" borderId="9" xfId="0" applyNumberFormat="1" applyFont="1" applyFill="1" applyBorder="1" applyAlignment="1">
      <alignment horizontal="right" vertical="center"/>
    </xf>
    <xf numFmtId="176" fontId="5" fillId="2" borderId="2" xfId="0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41" fontId="5" fillId="2" borderId="12" xfId="1" quotePrefix="1" applyFont="1" applyFill="1" applyBorder="1" applyAlignment="1">
      <alignment horizontal="center" vertical="center"/>
    </xf>
    <xf numFmtId="176" fontId="5" fillId="2" borderId="7" xfId="1" applyNumberFormat="1" applyFont="1" applyFill="1" applyBorder="1" applyAlignment="1">
      <alignment horizontal="right" vertical="center"/>
    </xf>
    <xf numFmtId="176" fontId="5" fillId="2" borderId="1" xfId="1" applyNumberFormat="1" applyFont="1" applyFill="1" applyBorder="1" applyAlignment="1">
      <alignment horizontal="right" vertical="center"/>
    </xf>
    <xf numFmtId="177" fontId="5" fillId="2" borderId="1" xfId="1" applyNumberFormat="1" applyFont="1" applyFill="1" applyBorder="1" applyAlignment="1">
      <alignment horizontal="right" vertical="center"/>
    </xf>
    <xf numFmtId="43" fontId="5" fillId="2" borderId="0" xfId="0" applyNumberFormat="1" applyFont="1" applyFill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43" fontId="5" fillId="2" borderId="0" xfId="0" applyNumberFormat="1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right" vertical="center"/>
    </xf>
    <xf numFmtId="186" fontId="5" fillId="2" borderId="7" xfId="1" applyNumberFormat="1" applyFont="1" applyFill="1" applyBorder="1" applyAlignment="1">
      <alignment horizontal="right" vertical="center"/>
    </xf>
    <xf numFmtId="186" fontId="5" fillId="2" borderId="1" xfId="1" applyNumberFormat="1" applyFont="1" applyFill="1" applyBorder="1" applyAlignment="1">
      <alignment horizontal="right" vertical="center"/>
    </xf>
    <xf numFmtId="186" fontId="5" fillId="5" borderId="1" xfId="1" applyNumberFormat="1" applyFont="1" applyFill="1" applyBorder="1" applyAlignment="1">
      <alignment horizontal="right" vertical="center"/>
    </xf>
    <xf numFmtId="186" fontId="5" fillId="6" borderId="1" xfId="1" applyNumberFormat="1" applyFont="1" applyFill="1" applyBorder="1" applyAlignment="1">
      <alignment horizontal="right" vertical="center"/>
    </xf>
    <xf numFmtId="178" fontId="5" fillId="2" borderId="7" xfId="1" applyNumberFormat="1" applyFont="1" applyFill="1" applyBorder="1" applyAlignment="1">
      <alignment horizontal="right" vertical="center"/>
    </xf>
    <xf numFmtId="178" fontId="5" fillId="2" borderId="1" xfId="1" applyNumberFormat="1" applyFont="1" applyFill="1" applyBorder="1" applyAlignment="1">
      <alignment horizontal="right" vertical="center"/>
    </xf>
    <xf numFmtId="17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1" fontId="5" fillId="2" borderId="12" xfId="1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vertical="center"/>
    </xf>
    <xf numFmtId="180" fontId="5" fillId="2" borderId="7" xfId="1" applyNumberFormat="1" applyFont="1" applyFill="1" applyBorder="1" applyAlignment="1">
      <alignment horizontal="right" vertical="center"/>
    </xf>
    <xf numFmtId="180" fontId="5" fillId="2" borderId="1" xfId="1" applyNumberFormat="1" applyFont="1" applyFill="1" applyBorder="1" applyAlignment="1">
      <alignment horizontal="right" vertical="center"/>
    </xf>
    <xf numFmtId="181" fontId="5" fillId="2" borderId="1" xfId="1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/>
    <xf numFmtId="184" fontId="7" fillId="0" borderId="7" xfId="1" applyNumberFormat="1" applyFont="1" applyFill="1" applyBorder="1" applyAlignment="1">
      <alignment horizontal="right" vertical="center"/>
    </xf>
    <xf numFmtId="184" fontId="7" fillId="0" borderId="1" xfId="1" applyNumberFormat="1" applyFont="1" applyFill="1" applyBorder="1" applyAlignment="1">
      <alignment horizontal="right" vertical="center"/>
    </xf>
    <xf numFmtId="184" fontId="5" fillId="2" borderId="1" xfId="1" applyNumberFormat="1" applyFont="1" applyFill="1" applyBorder="1" applyAlignment="1">
      <alignment horizontal="right" vertical="center"/>
    </xf>
    <xf numFmtId="184" fontId="5" fillId="2" borderId="7" xfId="1" applyNumberFormat="1" applyFont="1" applyFill="1" applyBorder="1" applyAlignment="1">
      <alignment horizontal="right" vertical="center"/>
    </xf>
    <xf numFmtId="184" fontId="5" fillId="6" borderId="1" xfId="1" applyNumberFormat="1" applyFont="1" applyFill="1" applyBorder="1" applyAlignment="1">
      <alignment horizontal="right" vertical="center"/>
    </xf>
    <xf numFmtId="185" fontId="5" fillId="2" borderId="7" xfId="1" applyNumberFormat="1" applyFont="1" applyFill="1" applyBorder="1" applyAlignment="1">
      <alignment horizontal="right" vertical="center"/>
    </xf>
    <xf numFmtId="185" fontId="5" fillId="2" borderId="1" xfId="1" applyNumberFormat="1" applyFont="1" applyFill="1" applyBorder="1" applyAlignment="1">
      <alignment horizontal="right" vertical="center"/>
    </xf>
    <xf numFmtId="184" fontId="5" fillId="2" borderId="1" xfId="1" quotePrefix="1" applyNumberFormat="1" applyFont="1" applyFill="1" applyBorder="1" applyAlignment="1">
      <alignment horizontal="right" vertical="center"/>
    </xf>
    <xf numFmtId="184" fontId="8" fillId="2" borderId="1" xfId="1" applyNumberFormat="1" applyFont="1" applyFill="1" applyBorder="1" applyAlignment="1">
      <alignment horizontal="right" vertical="center"/>
    </xf>
    <xf numFmtId="184" fontId="5" fillId="2" borderId="1" xfId="1" applyNumberFormat="1" applyFont="1" applyFill="1" applyBorder="1" applyAlignment="1">
      <alignment vertical="center"/>
    </xf>
    <xf numFmtId="184" fontId="9" fillId="2" borderId="1" xfId="1" applyNumberFormat="1" applyFont="1" applyFill="1" applyBorder="1" applyAlignment="1">
      <alignment horizontal="right" vertical="center"/>
    </xf>
    <xf numFmtId="184" fontId="5" fillId="2" borderId="7" xfId="1" applyNumberFormat="1" applyFont="1" applyFill="1" applyBorder="1" applyAlignment="1">
      <alignment vertical="center"/>
    </xf>
    <xf numFmtId="184" fontId="8" fillId="2" borderId="7" xfId="1" applyNumberFormat="1" applyFont="1" applyFill="1" applyBorder="1" applyAlignment="1">
      <alignment horizontal="right" vertical="center"/>
    </xf>
    <xf numFmtId="180" fontId="5" fillId="2" borderId="1" xfId="1" quotePrefix="1" applyNumberFormat="1" applyFont="1" applyFill="1" applyBorder="1" applyAlignment="1">
      <alignment horizontal="right" vertical="center"/>
    </xf>
    <xf numFmtId="180" fontId="7" fillId="2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184" fontId="7" fillId="5" borderId="1" xfId="1" applyNumberFormat="1" applyFont="1" applyFill="1" applyBorder="1" applyAlignment="1">
      <alignment horizontal="right" vertical="center"/>
    </xf>
    <xf numFmtId="180" fontId="5" fillId="4" borderId="1" xfId="1" applyNumberFormat="1" applyFont="1" applyFill="1" applyBorder="1" applyAlignment="1">
      <alignment horizontal="right" vertical="center"/>
    </xf>
    <xf numFmtId="186" fontId="5" fillId="0" borderId="7" xfId="1" applyNumberFormat="1" applyFont="1" applyFill="1" applyBorder="1" applyAlignment="1">
      <alignment horizontal="right" vertical="center"/>
    </xf>
    <xf numFmtId="186" fontId="5" fillId="4" borderId="7" xfId="1" applyNumberFormat="1" applyFont="1" applyFill="1" applyBorder="1" applyAlignment="1">
      <alignment horizontal="right" vertical="center"/>
    </xf>
    <xf numFmtId="0" fontId="0" fillId="2" borderId="0" xfId="0" applyFill="1"/>
    <xf numFmtId="186" fontId="5" fillId="0" borderId="0" xfId="1" applyNumberFormat="1" applyFont="1" applyFill="1" applyBorder="1" applyAlignment="1">
      <alignment horizontal="right" vertical="center"/>
    </xf>
    <xf numFmtId="180" fontId="9" fillId="2" borderId="1" xfId="1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43" fontId="5" fillId="2" borderId="3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184" fontId="5" fillId="2" borderId="1" xfId="1" quotePrefix="1" applyNumberFormat="1" applyFont="1" applyFill="1" applyBorder="1" applyAlignment="1">
      <alignment horizontal="right" vertical="center"/>
    </xf>
    <xf numFmtId="184" fontId="5" fillId="2" borderId="1" xfId="1" applyNumberFormat="1" applyFont="1" applyFill="1" applyBorder="1" applyAlignment="1">
      <alignment horizontal="right" vertical="center"/>
    </xf>
    <xf numFmtId="41" fontId="5" fillId="2" borderId="12" xfId="1" quotePrefix="1" applyFont="1" applyFill="1" applyBorder="1" applyAlignment="1">
      <alignment horizontal="center" vertical="center"/>
    </xf>
    <xf numFmtId="184" fontId="5" fillId="2" borderId="7" xfId="1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4" fontId="5" fillId="2" borderId="1" xfId="1" quotePrefix="1" applyNumberFormat="1" applyFont="1" applyFill="1" applyBorder="1" applyAlignment="1">
      <alignment vertical="center"/>
    </xf>
    <xf numFmtId="184" fontId="5" fillId="2" borderId="7" xfId="1" quotePrefix="1" applyNumberFormat="1" applyFont="1" applyFill="1" applyBorder="1" applyAlignment="1">
      <alignment vertical="center"/>
    </xf>
    <xf numFmtId="184" fontId="5" fillId="2" borderId="7" xfId="1" quotePrefix="1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6" fillId="3" borderId="6" xfId="1" applyFont="1" applyFill="1" applyBorder="1" applyAlignment="1">
      <alignment horizontal="center" vertical="center"/>
    </xf>
    <xf numFmtId="41" fontId="6" fillId="3" borderId="13" xfId="1" applyFont="1" applyFill="1" applyBorder="1" applyAlignment="1">
      <alignment horizontal="center" vertical="center"/>
    </xf>
    <xf numFmtId="41" fontId="6" fillId="3" borderId="10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sp macro="" textlink="">
      <xdr:nvSpPr>
        <xdr:cNvPr id="2" name="Line 3"/>
        <xdr:cNvSpPr>
          <a:spLocks noChangeShapeType="1"/>
        </xdr:cNvSpPr>
      </xdr:nvSpPr>
      <xdr:spPr bwMode="auto">
        <a:xfrm flipV="1">
          <a:off x="1209675" y="476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67535</xdr:colOff>
      <xdr:row>19</xdr:row>
      <xdr:rowOff>143302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42900"/>
          <a:ext cx="6163535" cy="3057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9</xdr:col>
      <xdr:colOff>19904</xdr:colOff>
      <xdr:row>64</xdr:row>
      <xdr:rowOff>86790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429000"/>
          <a:ext cx="6115904" cy="76305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&#44608;&#51456;&#49688;/&#51228;&#51312;&#50896;&#44032;/2&#50900;%20&#51204;&#47141;&#4870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지침"/>
      <sheetName val="보고"/>
      <sheetName val="Sheet3"/>
      <sheetName val="요금제단가비교('16)"/>
      <sheetName val="요금제단가비교('17)"/>
      <sheetName val="요금제단가비교('17) (2)"/>
      <sheetName val="보고 (2)"/>
      <sheetName val="저압"/>
      <sheetName val="저압지침"/>
      <sheetName val="본사 전기 요금 분석"/>
      <sheetName val="Sheet1"/>
      <sheetName val="Sheet2"/>
      <sheetName val="Sheet2 (2)"/>
      <sheetName val="주말제외요금"/>
      <sheetName val="Sheet4"/>
      <sheetName val="Sheet5"/>
      <sheetName val="Sheet5 (2)"/>
      <sheetName val="Sheet7"/>
      <sheetName val="요금분석"/>
      <sheetName val="Chart1"/>
      <sheetName val="단가비교"/>
      <sheetName val="단가비교 (2)"/>
      <sheetName val="Sheet6"/>
      <sheetName val="Sheet8"/>
      <sheetName val="Sheet8 (2)"/>
    </sheetNames>
    <sheetDataSet>
      <sheetData sheetId="0" refreshError="1">
        <row r="38">
          <cell r="G38">
            <v>307480958</v>
          </cell>
          <cell r="H38">
            <v>274407574</v>
          </cell>
          <cell r="I38">
            <v>260950250</v>
          </cell>
          <cell r="J38">
            <v>231789080</v>
          </cell>
          <cell r="K38">
            <v>184615587</v>
          </cell>
          <cell r="L38">
            <v>287014572</v>
          </cell>
          <cell r="M38">
            <v>336258469</v>
          </cell>
          <cell r="N38">
            <v>274749342</v>
          </cell>
          <cell r="O38">
            <v>263919207</v>
          </cell>
          <cell r="P38">
            <v>266674544</v>
          </cell>
          <cell r="Q38">
            <v>351750792</v>
          </cell>
          <cell r="R38">
            <v>358239238</v>
          </cell>
          <cell r="S38">
            <v>330781962</v>
          </cell>
          <cell r="T38">
            <v>307554591</v>
          </cell>
          <cell r="U38">
            <v>274152589</v>
          </cell>
          <cell r="V38">
            <v>268738506</v>
          </cell>
          <cell r="W38">
            <v>248513246</v>
          </cell>
          <cell r="X38">
            <v>319262184</v>
          </cell>
          <cell r="Y38">
            <v>342582146</v>
          </cell>
          <cell r="Z38">
            <v>277307724</v>
          </cell>
          <cell r="AA38">
            <v>209401810</v>
          </cell>
          <cell r="AB38">
            <v>244717577</v>
          </cell>
          <cell r="AC38">
            <v>344297840</v>
          </cell>
          <cell r="AD38">
            <v>350809318</v>
          </cell>
          <cell r="AE38">
            <v>347906691</v>
          </cell>
          <cell r="AF38">
            <v>317231378</v>
          </cell>
          <cell r="AG38">
            <v>253398723</v>
          </cell>
          <cell r="AH38">
            <v>248362758</v>
          </cell>
          <cell r="AI38">
            <v>280842820</v>
          </cell>
          <cell r="AJ38">
            <v>347304550</v>
          </cell>
          <cell r="AK38">
            <v>365655388</v>
          </cell>
          <cell r="AL38">
            <v>306882527</v>
          </cell>
          <cell r="AM38">
            <v>274807653</v>
          </cell>
          <cell r="AN38">
            <v>338046097</v>
          </cell>
          <cell r="AO38">
            <v>420384251</v>
          </cell>
          <cell r="AP38">
            <v>439335321</v>
          </cell>
          <cell r="AQ38">
            <v>468744679</v>
          </cell>
          <cell r="AR38">
            <v>449589734</v>
          </cell>
          <cell r="AS38">
            <v>406649654</v>
          </cell>
          <cell r="AT38">
            <v>377693854</v>
          </cell>
          <cell r="AU38">
            <v>388850775</v>
          </cell>
          <cell r="AV38">
            <v>433338403</v>
          </cell>
          <cell r="AW38">
            <v>418289483</v>
          </cell>
          <cell r="AX38">
            <v>417161833</v>
          </cell>
          <cell r="AY38">
            <v>348642490</v>
          </cell>
          <cell r="AZ38">
            <v>348103429</v>
          </cell>
          <cell r="BA38">
            <v>458290509</v>
          </cell>
          <cell r="BB38">
            <v>411906948</v>
          </cell>
          <cell r="BC38">
            <v>481022388</v>
          </cell>
          <cell r="BD38">
            <v>429585873</v>
          </cell>
          <cell r="BE38">
            <v>389656102</v>
          </cell>
          <cell r="BF38">
            <v>379231813</v>
          </cell>
          <cell r="BG38">
            <v>375543782</v>
          </cell>
          <cell r="BH38">
            <v>441418385</v>
          </cell>
          <cell r="BI38">
            <v>415398492</v>
          </cell>
          <cell r="BJ38">
            <v>423274450</v>
          </cell>
          <cell r="BK38">
            <v>330749743</v>
          </cell>
          <cell r="BL38">
            <v>420461380</v>
          </cell>
          <cell r="BM38">
            <v>475621911</v>
          </cell>
          <cell r="BN38">
            <v>493666540</v>
          </cell>
          <cell r="BO38">
            <v>471607218</v>
          </cell>
          <cell r="BP38">
            <v>484056391</v>
          </cell>
          <cell r="BQ38">
            <v>441491418</v>
          </cell>
          <cell r="BR38">
            <v>430068343</v>
          </cell>
          <cell r="BS38">
            <v>435288294</v>
          </cell>
          <cell r="BT38">
            <v>470984548</v>
          </cell>
          <cell r="BU38">
            <v>419363317</v>
          </cell>
          <cell r="BV38">
            <v>410117992</v>
          </cell>
          <cell r="BW38">
            <v>385374160</v>
          </cell>
          <cell r="BX38">
            <v>341175701</v>
          </cell>
          <cell r="BY38">
            <v>457450890</v>
          </cell>
          <cell r="BZ38">
            <v>444934931</v>
          </cell>
          <cell r="CA38">
            <v>472621596</v>
          </cell>
          <cell r="CB38">
            <v>405427314</v>
          </cell>
        </row>
        <row r="39">
          <cell r="G39">
            <v>24.5</v>
          </cell>
          <cell r="H39">
            <v>20.2</v>
          </cell>
          <cell r="I39">
            <v>28.5</v>
          </cell>
          <cell r="J39">
            <v>24.5</v>
          </cell>
          <cell r="K39">
            <v>17.5</v>
          </cell>
          <cell r="L39">
            <v>21</v>
          </cell>
          <cell r="M39">
            <v>27.1</v>
          </cell>
          <cell r="N39">
            <v>22.1</v>
          </cell>
          <cell r="O39">
            <v>27.6</v>
          </cell>
          <cell r="P39">
            <v>29.9</v>
          </cell>
          <cell r="Q39">
            <v>28.8</v>
          </cell>
          <cell r="R39">
            <v>28.1</v>
          </cell>
          <cell r="S39">
            <v>24.7</v>
          </cell>
          <cell r="T39">
            <v>24.7</v>
          </cell>
          <cell r="U39">
            <v>29.7</v>
          </cell>
          <cell r="V39">
            <v>29.4</v>
          </cell>
          <cell r="W39">
            <v>27</v>
          </cell>
          <cell r="X39">
            <v>25.5</v>
          </cell>
          <cell r="Y39">
            <v>29</v>
          </cell>
          <cell r="Z39">
            <v>21.9</v>
          </cell>
          <cell r="AA39">
            <v>21.5</v>
          </cell>
          <cell r="AB39">
            <v>24.7</v>
          </cell>
          <cell r="AC39">
            <v>27.5</v>
          </cell>
          <cell r="AD39">
            <v>27.2</v>
          </cell>
          <cell r="AE39">
            <v>28.9</v>
          </cell>
          <cell r="AF39">
            <v>24</v>
          </cell>
          <cell r="AG39">
            <v>23.5</v>
          </cell>
          <cell r="AH39">
            <v>22.8</v>
          </cell>
          <cell r="AI39">
            <v>27.9</v>
          </cell>
          <cell r="AJ39">
            <v>28</v>
          </cell>
          <cell r="AK39">
            <v>27.5</v>
          </cell>
          <cell r="AL39">
            <v>22</v>
          </cell>
          <cell r="AM39">
            <v>25.3</v>
          </cell>
          <cell r="AN39">
            <v>28.1</v>
          </cell>
          <cell r="AO39">
            <v>28.7</v>
          </cell>
          <cell r="AP39">
            <v>29</v>
          </cell>
          <cell r="AQ39">
            <v>28.57</v>
          </cell>
          <cell r="AR39">
            <v>26.9</v>
          </cell>
          <cell r="AS39">
            <v>29.97</v>
          </cell>
          <cell r="AT39">
            <v>27.87</v>
          </cell>
          <cell r="AU39">
            <v>28.71</v>
          </cell>
          <cell r="AV39">
            <v>25.93</v>
          </cell>
          <cell r="AW39">
            <v>24.64</v>
          </cell>
          <cell r="AX39">
            <v>26.04</v>
          </cell>
          <cell r="AY39">
            <v>25.32</v>
          </cell>
          <cell r="AZ39">
            <v>25.36</v>
          </cell>
          <cell r="BA39">
            <v>28.46</v>
          </cell>
          <cell r="BB39">
            <v>23.71</v>
          </cell>
          <cell r="BC39">
            <v>27.75</v>
          </cell>
          <cell r="BD39">
            <v>24.36</v>
          </cell>
          <cell r="BE39">
            <v>26.9</v>
          </cell>
          <cell r="BF39">
            <v>27.1</v>
          </cell>
          <cell r="BG39">
            <v>26.9</v>
          </cell>
          <cell r="BH39">
            <v>26.9</v>
          </cell>
          <cell r="BI39">
            <v>25.2</v>
          </cell>
          <cell r="BJ39">
            <v>26.2</v>
          </cell>
          <cell r="BK39">
            <v>24</v>
          </cell>
          <cell r="BL39">
            <v>27.5</v>
          </cell>
          <cell r="BM39">
            <v>26</v>
          </cell>
          <cell r="BN39">
            <v>25.8</v>
          </cell>
          <cell r="BO39">
            <v>25</v>
          </cell>
          <cell r="BP39">
            <v>25.7</v>
          </cell>
          <cell r="BQ39">
            <v>28.2</v>
          </cell>
          <cell r="BR39">
            <v>28</v>
          </cell>
          <cell r="BS39">
            <v>29</v>
          </cell>
          <cell r="BT39">
            <v>26.9</v>
          </cell>
          <cell r="BU39">
            <v>23</v>
          </cell>
          <cell r="BV39">
            <v>20.9</v>
          </cell>
          <cell r="BW39">
            <v>26</v>
          </cell>
          <cell r="BX39">
            <v>22</v>
          </cell>
          <cell r="BY39">
            <v>24.8</v>
          </cell>
          <cell r="BZ39">
            <v>22.69</v>
          </cell>
          <cell r="CA39">
            <v>24</v>
          </cell>
          <cell r="CB39">
            <v>21</v>
          </cell>
        </row>
        <row r="40">
          <cell r="G40">
            <v>8533.7999999999993</v>
          </cell>
          <cell r="H40">
            <v>6968.6</v>
          </cell>
          <cell r="I40">
            <v>9957.5</v>
          </cell>
          <cell r="J40">
            <v>8530.94</v>
          </cell>
          <cell r="K40">
            <v>6071.4</v>
          </cell>
          <cell r="L40">
            <v>7676.1</v>
          </cell>
          <cell r="M40">
            <v>9644.2000000000007</v>
          </cell>
          <cell r="N40">
            <v>8008.6</v>
          </cell>
          <cell r="O40">
            <v>9996</v>
          </cell>
          <cell r="P40">
            <v>11077</v>
          </cell>
          <cell r="Q40">
            <v>10655.4</v>
          </cell>
          <cell r="R40">
            <v>10236.299999999999</v>
          </cell>
          <cell r="S40">
            <v>9072.2000000000007</v>
          </cell>
          <cell r="T40">
            <v>9146.6</v>
          </cell>
          <cell r="U40">
            <v>11117.8</v>
          </cell>
          <cell r="V40">
            <v>10987.6</v>
          </cell>
          <cell r="W40">
            <v>10141.299999999999</v>
          </cell>
          <cell r="X40">
            <v>9421.7000000000007</v>
          </cell>
          <cell r="Y40">
            <v>10671</v>
          </cell>
          <cell r="Z40">
            <v>8069</v>
          </cell>
          <cell r="AA40">
            <v>7858.7</v>
          </cell>
          <cell r="AB40">
            <v>8969.7000000000007</v>
          </cell>
          <cell r="AC40">
            <v>9871.6</v>
          </cell>
          <cell r="AD40">
            <v>9933.7000000000007</v>
          </cell>
          <cell r="AE40">
            <v>10767.7</v>
          </cell>
          <cell r="AF40">
            <v>8739.4</v>
          </cell>
          <cell r="AG40">
            <v>8613.1</v>
          </cell>
          <cell r="AH40">
            <v>8272.5</v>
          </cell>
          <cell r="AI40">
            <v>10182.299999999999</v>
          </cell>
          <cell r="AJ40">
            <v>10121.799999999999</v>
          </cell>
          <cell r="AK40">
            <v>9928.1</v>
          </cell>
          <cell r="AL40">
            <v>7939.8</v>
          </cell>
          <cell r="AM40">
            <v>9220.6</v>
          </cell>
          <cell r="AN40">
            <v>10291.799999999999</v>
          </cell>
          <cell r="AO40">
            <v>10363.5</v>
          </cell>
          <cell r="AP40">
            <v>10255.4</v>
          </cell>
          <cell r="AQ40">
            <v>10507000</v>
          </cell>
          <cell r="AR40">
            <v>9773700</v>
          </cell>
          <cell r="AS40">
            <v>11106600</v>
          </cell>
          <cell r="AT40">
            <v>10372500</v>
          </cell>
          <cell r="AU40">
            <v>9928200</v>
          </cell>
          <cell r="AV40">
            <v>8986800</v>
          </cell>
          <cell r="AW40">
            <v>8371700.0000000009</v>
          </cell>
          <cell r="AX40">
            <v>8801100</v>
          </cell>
          <cell r="AY40">
            <v>8478100</v>
          </cell>
          <cell r="AZ40">
            <v>8459200</v>
          </cell>
          <cell r="BA40">
            <v>9592720</v>
          </cell>
          <cell r="BB40">
            <v>7808500</v>
          </cell>
          <cell r="BC40">
            <v>9384000</v>
          </cell>
          <cell r="BD40">
            <v>8223780.0000000009</v>
          </cell>
          <cell r="BE40">
            <v>8847100</v>
          </cell>
          <cell r="BF40">
            <v>9196620</v>
          </cell>
          <cell r="BG40">
            <v>9015060</v>
          </cell>
          <cell r="BH40">
            <v>9062700</v>
          </cell>
          <cell r="BI40">
            <v>8372650</v>
          </cell>
          <cell r="BJ40">
            <v>8731600</v>
          </cell>
          <cell r="BK40">
            <v>8085000</v>
          </cell>
          <cell r="BL40">
            <v>8952300</v>
          </cell>
          <cell r="BM40">
            <v>8377400</v>
          </cell>
          <cell r="BN40">
            <v>8204200.0000000009</v>
          </cell>
          <cell r="BO40">
            <v>8076700</v>
          </cell>
          <cell r="BP40">
            <v>8300559.9999999991</v>
          </cell>
          <cell r="BQ40">
            <v>9173000</v>
          </cell>
          <cell r="BR40">
            <v>8962700</v>
          </cell>
          <cell r="BS40">
            <v>9322000</v>
          </cell>
          <cell r="BT40">
            <v>8537100</v>
          </cell>
          <cell r="BU40">
            <v>7089240</v>
          </cell>
          <cell r="BV40">
            <v>6502700</v>
          </cell>
          <cell r="BW40">
            <v>7511900</v>
          </cell>
          <cell r="BX40">
            <v>6417652</v>
          </cell>
          <cell r="BY40">
            <v>7298206</v>
          </cell>
          <cell r="BZ40">
            <v>6704236</v>
          </cell>
          <cell r="CA40">
            <v>7139481</v>
          </cell>
          <cell r="CB40">
            <v>6176114</v>
          </cell>
        </row>
        <row r="41">
          <cell r="G41">
            <v>3.3114325094526142</v>
          </cell>
          <cell r="H41">
            <v>3.0945808642764572</v>
          </cell>
          <cell r="I41">
            <v>3.4728616310085711</v>
          </cell>
          <cell r="J41">
            <v>3.3981093775891145</v>
          </cell>
          <cell r="K41">
            <v>3.347115639057971</v>
          </cell>
          <cell r="L41">
            <v>3.4981679973750439</v>
          </cell>
          <cell r="M41">
            <v>3.5143222789710395</v>
          </cell>
          <cell r="N41">
            <v>3.4837933962527057</v>
          </cell>
          <cell r="O41">
            <v>3.3851880750349475</v>
          </cell>
          <cell r="P41">
            <v>3.6100247686090166</v>
          </cell>
          <cell r="Q41">
            <v>3.4401732581205122</v>
          </cell>
          <cell r="R41">
            <v>3.2663927521137426</v>
          </cell>
          <cell r="S41">
            <v>3.2308404558404455</v>
          </cell>
          <cell r="T41">
            <v>3.3701348849822552</v>
          </cell>
          <cell r="U41">
            <v>3.527095483916812</v>
          </cell>
          <cell r="V41">
            <v>3.5769721592832728</v>
          </cell>
          <cell r="W41">
            <v>3.5779353655094552</v>
          </cell>
          <cell r="X41">
            <v>3.5812625055495624</v>
          </cell>
          <cell r="Y41">
            <v>3.5740984871625847</v>
          </cell>
          <cell r="Z41">
            <v>3.5659864378495865</v>
          </cell>
          <cell r="AA41">
            <v>3.5264591006669939</v>
          </cell>
          <cell r="AB41">
            <v>3.4216898906853843</v>
          </cell>
          <cell r="AC41">
            <v>3.4271248201658628</v>
          </cell>
          <cell r="AD41">
            <v>3.3122932671788243</v>
          </cell>
          <cell r="AE41">
            <v>3.525824898361186</v>
          </cell>
          <cell r="AF41">
            <v>3.1961877176043889</v>
          </cell>
          <cell r="AG41">
            <v>3.3780677974610551</v>
          </cell>
          <cell r="AH41">
            <v>3.4670532499144762</v>
          </cell>
          <cell r="AI41">
            <v>3.5704517529833808</v>
          </cell>
          <cell r="AJ41">
            <v>3.5900851819693274</v>
          </cell>
          <cell r="AK41">
            <v>3.5530794954162528</v>
          </cell>
          <cell r="AL41">
            <v>3.5490913382109865</v>
          </cell>
          <cell r="AM41">
            <v>3.552593455639411</v>
          </cell>
          <cell r="AN41">
            <v>3.5110450645182296</v>
          </cell>
          <cell r="AO41">
            <v>3.4727248600656586</v>
          </cell>
          <cell r="AP41">
            <v>3.2687325653147248</v>
          </cell>
          <cell r="AQ41">
            <v>0.2968489578376341</v>
          </cell>
          <cell r="AR41">
            <v>0.29714355873415343</v>
          </cell>
          <cell r="AS41">
            <v>0.28666198476581456</v>
          </cell>
          <cell r="AT41">
            <v>0.28367317425885757</v>
          </cell>
          <cell r="AU41">
            <v>0.28540762676013864</v>
          </cell>
          <cell r="AV41">
            <v>0.28467886233142026</v>
          </cell>
          <cell r="AW41">
            <v>0.29383566061851002</v>
          </cell>
          <cell r="AX41">
            <v>0.284680778539048</v>
          </cell>
          <cell r="AY41">
            <v>0.29249761149313969</v>
          </cell>
          <cell r="AZ41">
            <v>0.29106865897484346</v>
          </cell>
          <cell r="BA41">
            <v>0.29016504182338337</v>
          </cell>
          <cell r="BB41">
            <v>0.31731574566177817</v>
          </cell>
          <cell r="BC41">
            <v>0.29984654731457838</v>
          </cell>
          <cell r="BD41">
            <v>0.30442643164092403</v>
          </cell>
          <cell r="BE41">
            <v>0.30235806083349392</v>
          </cell>
          <cell r="BF41">
            <v>0.28270908224978392</v>
          </cell>
          <cell r="BG41">
            <v>0.28579377175526105</v>
          </cell>
          <cell r="BH41">
            <v>0.28589625608262675</v>
          </cell>
          <cell r="BI41">
            <v>0.28357473440308589</v>
          </cell>
          <cell r="BJ41">
            <v>0.28038847404828005</v>
          </cell>
          <cell r="BK41">
            <v>0.27584118738404928</v>
          </cell>
          <cell r="BL41">
            <v>0.28766328206159031</v>
          </cell>
          <cell r="BM41">
            <v>0.29614534342397542</v>
          </cell>
          <cell r="BN41">
            <v>0.31978547573194099</v>
          </cell>
          <cell r="BO41">
            <v>0.31158666286973691</v>
          </cell>
          <cell r="BP41">
            <v>0.308104513430423</v>
          </cell>
          <cell r="BQ41">
            <v>0.29938122751553148</v>
          </cell>
          <cell r="BR41">
            <v>0.29408280986756263</v>
          </cell>
          <cell r="BS41">
            <v>0.28973524994636557</v>
          </cell>
          <cell r="BT41">
            <v>0.29123519696383787</v>
          </cell>
          <cell r="BU41">
            <v>0.30190429439544963</v>
          </cell>
          <cell r="BV41">
            <v>0.3181816783797467</v>
          </cell>
          <cell r="BW41">
            <v>0.30657916106444499</v>
          </cell>
          <cell r="BX41">
            <v>0.31568928947846125</v>
          </cell>
          <cell r="BY41">
            <v>0.32585542255178684</v>
          </cell>
          <cell r="BZ41">
            <v>0.34657729829320089</v>
          </cell>
          <cell r="CA41">
            <v>0.34590749663736059</v>
          </cell>
          <cell r="CB41">
            <v>0.34111546516142383</v>
          </cell>
        </row>
        <row r="42">
          <cell r="G42">
            <v>36030.954322810474</v>
          </cell>
          <cell r="H42">
            <v>39377.719197543265</v>
          </cell>
          <cell r="I42">
            <v>26206.402209389908</v>
          </cell>
          <cell r="J42">
            <v>27170.403261539759</v>
          </cell>
          <cell r="K42">
            <v>30407.416246664692</v>
          </cell>
          <cell r="L42">
            <v>37390.676515417981</v>
          </cell>
          <cell r="M42">
            <v>34866.393168951283</v>
          </cell>
          <cell r="N42">
            <v>34306.787952950574</v>
          </cell>
          <cell r="O42">
            <v>26402.481692677069</v>
          </cell>
          <cell r="P42">
            <v>24074.618037374741</v>
          </cell>
          <cell r="Q42">
            <v>33011.505152317135</v>
          </cell>
          <cell r="R42">
            <v>34996.945966804415</v>
          </cell>
          <cell r="S42">
            <v>36461.052666387419</v>
          </cell>
          <cell r="T42">
            <v>33625.018148820323</v>
          </cell>
          <cell r="U42">
            <v>24658.888359207758</v>
          </cell>
          <cell r="V42">
            <v>24458.344497433471</v>
          </cell>
          <cell r="W42">
            <v>24505.067989311035</v>
          </cell>
          <cell r="X42">
            <v>33885.836314040986</v>
          </cell>
          <cell r="Y42">
            <v>32104.033923718489</v>
          </cell>
          <cell r="Z42">
            <v>34367.04969636882</v>
          </cell>
          <cell r="AA42">
            <v>26645.858729815365</v>
          </cell>
          <cell r="AB42">
            <v>27282.693624089989</v>
          </cell>
          <cell r="AC42">
            <v>34877.612545078809</v>
          </cell>
          <cell r="AD42">
            <v>35315.070718866082</v>
          </cell>
          <cell r="AE42">
            <v>32310.213973271912</v>
          </cell>
          <cell r="AF42">
            <v>36298.988260063619</v>
          </cell>
          <cell r="AG42">
            <v>29420.153371027853</v>
          </cell>
          <cell r="AH42">
            <v>30022.696645512238</v>
          </cell>
          <cell r="AI42">
            <v>27581.471769639473</v>
          </cell>
          <cell r="AJ42">
            <v>34312.528404038807</v>
          </cell>
          <cell r="AK42">
            <v>36830.349009377423</v>
          </cell>
          <cell r="AL42">
            <v>38651.165898385349</v>
          </cell>
          <cell r="AM42">
            <v>29803.6627768258</v>
          </cell>
          <cell r="AN42">
            <v>32846.158786606815</v>
          </cell>
          <cell r="AO42">
            <v>40563.926376224248</v>
          </cell>
          <cell r="AP42">
            <v>42839.413479727751</v>
          </cell>
          <cell r="AQ42">
            <v>44.612608641857811</v>
          </cell>
          <cell r="AR42">
            <v>45.999952321024793</v>
          </cell>
          <cell r="AS42">
            <v>36.613333873552662</v>
          </cell>
          <cell r="AT42">
            <v>36.41300110870089</v>
          </cell>
          <cell r="AU42">
            <v>39.166291472774525</v>
          </cell>
          <cell r="AV42">
            <v>48.21943327992166</v>
          </cell>
          <cell r="AW42">
            <v>49.9647004789947</v>
          </cell>
          <cell r="AX42">
            <v>47.398828896387954</v>
          </cell>
          <cell r="AY42">
            <v>41.122714995105035</v>
          </cell>
          <cell r="AZ42">
            <v>41.150868758275017</v>
          </cell>
          <cell r="BA42">
            <v>47.77482392897948</v>
          </cell>
          <cell r="BB42">
            <v>52.751097906127939</v>
          </cell>
          <cell r="BC42">
            <v>51.2598452685422</v>
          </cell>
          <cell r="BD42">
            <v>52.237033699831457</v>
          </cell>
          <cell r="BE42">
            <v>44.043370369951738</v>
          </cell>
          <cell r="BF42">
            <v>41.2359989865842</v>
          </cell>
          <cell r="BG42">
            <v>41.657380206010828</v>
          </cell>
          <cell r="BH42">
            <v>48.707160669557638</v>
          </cell>
          <cell r="BI42">
            <v>49.61374140803688</v>
          </cell>
          <cell r="BJ42">
            <v>48.476161299189151</v>
          </cell>
          <cell r="BK42">
            <v>40.909059121830552</v>
          </cell>
          <cell r="BL42">
            <v>46.966855444969447</v>
          </cell>
          <cell r="BM42">
            <v>56.774406259698715</v>
          </cell>
          <cell r="BN42">
            <v>60.172416567124152</v>
          </cell>
          <cell r="BO42">
            <v>58.391077791672345</v>
          </cell>
          <cell r="BP42">
            <v>58.316112527347556</v>
          </cell>
          <cell r="BQ42">
            <v>48.129447072931427</v>
          </cell>
          <cell r="BR42">
            <v>47.984239459091569</v>
          </cell>
          <cell r="BS42">
            <v>46.694732246299075</v>
          </cell>
          <cell r="BT42">
            <v>55.169149711260268</v>
          </cell>
          <cell r="BU42">
            <v>59.154904757068458</v>
          </cell>
          <cell r="BV42">
            <v>63.068877850738922</v>
          </cell>
          <cell r="BW42">
            <v>51.301822441725797</v>
          </cell>
          <cell r="BX42">
            <v>53.162075631399148</v>
          </cell>
          <cell r="BY42">
            <v>62.679909281815284</v>
          </cell>
          <cell r="BZ42">
            <v>66.366239344796341</v>
          </cell>
          <cell r="CA42">
            <v>66.198312734497094</v>
          </cell>
          <cell r="CB42">
            <v>65.644402613034671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S123"/>
  <sheetViews>
    <sheetView tabSelected="1" topLeftCell="A63" zoomScale="70" zoomScaleNormal="70" zoomScaleSheetLayoutView="85" workbookViewId="0">
      <selection activeCell="K107" sqref="K107"/>
    </sheetView>
  </sheetViews>
  <sheetFormatPr defaultColWidth="8.8984375" defaultRowHeight="14.4" x14ac:dyDescent="0.25"/>
  <cols>
    <col min="1" max="1" width="3.296875" style="1" customWidth="1"/>
    <col min="2" max="2" width="21.09765625" style="1" bestFit="1" customWidth="1"/>
    <col min="3" max="3" width="10.19921875" style="1" bestFit="1" customWidth="1"/>
    <col min="4" max="4" width="8.3984375" style="1" bestFit="1" customWidth="1"/>
    <col min="5" max="5" width="11.8984375" style="2" bestFit="1" customWidth="1"/>
    <col min="6" max="6" width="10.3984375" style="2" bestFit="1" customWidth="1"/>
    <col min="7" max="7" width="10.3984375" style="2" customWidth="1"/>
    <col min="8" max="8" width="11.09765625" style="2" customWidth="1"/>
    <col min="9" max="11" width="11.8984375" style="2" bestFit="1" customWidth="1"/>
    <col min="12" max="13" width="10.3984375" style="2" bestFit="1" customWidth="1"/>
    <col min="14" max="16" width="11.8984375" style="1" bestFit="1" customWidth="1"/>
    <col min="17" max="17" width="10.3984375" style="2" bestFit="1" customWidth="1"/>
    <col min="18" max="18" width="59.19921875" style="1" customWidth="1"/>
    <col min="19" max="19" width="15.3984375" style="1" bestFit="1" customWidth="1"/>
    <col min="20" max="20" width="12.8984375" style="1" customWidth="1"/>
    <col min="21" max="80" width="8.8984375" style="1"/>
    <col min="81" max="83" width="0" style="1" hidden="1" customWidth="1"/>
    <col min="84" max="16384" width="8.8984375" style="1"/>
  </cols>
  <sheetData>
    <row r="1" spans="2:19" ht="60.75" customHeight="1" x14ac:dyDescent="0.25">
      <c r="B1" s="90" t="s">
        <v>75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3"/>
    </row>
    <row r="2" spans="2:19" ht="13.5" customHeight="1" x14ac:dyDescent="0.25">
      <c r="B2" s="61"/>
      <c r="C2" s="91" t="s">
        <v>0</v>
      </c>
      <c r="D2" s="93" t="s">
        <v>1</v>
      </c>
      <c r="E2" s="95" t="s">
        <v>2</v>
      </c>
      <c r="F2" s="61" t="s">
        <v>3</v>
      </c>
      <c r="G2" s="61" t="s">
        <v>4</v>
      </c>
      <c r="H2" s="61" t="s">
        <v>5</v>
      </c>
      <c r="I2" s="61" t="s">
        <v>6</v>
      </c>
      <c r="J2" s="61" t="s">
        <v>7</v>
      </c>
      <c r="K2" s="61" t="s">
        <v>8</v>
      </c>
      <c r="L2" s="61" t="s">
        <v>9</v>
      </c>
      <c r="M2" s="61" t="s">
        <v>10</v>
      </c>
      <c r="N2" s="61" t="s">
        <v>11</v>
      </c>
      <c r="O2" s="61" t="s">
        <v>12</v>
      </c>
      <c r="P2" s="61" t="s">
        <v>13</v>
      </c>
      <c r="Q2" s="61" t="s">
        <v>14</v>
      </c>
      <c r="R2" s="61" t="s">
        <v>76</v>
      </c>
    </row>
    <row r="3" spans="2:19" ht="15" customHeight="1" thickBot="1" x14ac:dyDescent="0.3">
      <c r="B3" s="62"/>
      <c r="C3" s="92"/>
      <c r="D3" s="94"/>
      <c r="E3" s="96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2:19" ht="23.25" hidden="1" customHeight="1" x14ac:dyDescent="0.25">
      <c r="B4" s="78" t="s">
        <v>79</v>
      </c>
      <c r="C4" s="81" t="s">
        <v>15</v>
      </c>
      <c r="D4" s="11" t="s">
        <v>16</v>
      </c>
      <c r="E4" s="12">
        <f>94707260/1000000</f>
        <v>94.707260000000005</v>
      </c>
      <c r="F4" s="13">
        <f>91556520/1000000</f>
        <v>91.556520000000006</v>
      </c>
      <c r="G4" s="13">
        <f>101391180/1000000</f>
        <v>101.39118000000001</v>
      </c>
      <c r="H4" s="13">
        <f>89800762/1000000</f>
        <v>89.800762000000006</v>
      </c>
      <c r="I4" s="13">
        <f>94576360/1000000</f>
        <v>94.576359999999994</v>
      </c>
      <c r="J4" s="13">
        <f>91200860/1000000</f>
        <v>91.200860000000006</v>
      </c>
      <c r="K4" s="13">
        <f>105923400/1000000</f>
        <v>105.9234</v>
      </c>
      <c r="L4" s="13">
        <f>102615940/1000000</f>
        <v>102.61593999999999</v>
      </c>
      <c r="M4" s="13">
        <f>81217980/1000000</f>
        <v>81.217979999999997</v>
      </c>
      <c r="N4" s="13">
        <f>99696640/1000000</f>
        <v>99.696640000000002</v>
      </c>
      <c r="O4" s="13">
        <f>117617420/1000000</f>
        <v>117.61742</v>
      </c>
      <c r="P4" s="13">
        <f>115819160/1000000</f>
        <v>115.81916</v>
      </c>
      <c r="Q4" s="14">
        <f t="shared" ref="Q4:Q38" si="0">+AVERAGE(E4:P4)</f>
        <v>98.843623500000021</v>
      </c>
      <c r="R4" s="15"/>
    </row>
    <row r="5" spans="2:19" ht="24" hidden="1" customHeight="1" x14ac:dyDescent="0.25">
      <c r="B5" s="78"/>
      <c r="C5" s="81"/>
      <c r="D5" s="16" t="s">
        <v>17</v>
      </c>
      <c r="E5" s="17">
        <f>118569920/1000000</f>
        <v>118.56992</v>
      </c>
      <c r="F5" s="18">
        <f>104524130/1000000</f>
        <v>104.52413</v>
      </c>
      <c r="G5" s="18">
        <f>110212640/1000000</f>
        <v>110.21263999999999</v>
      </c>
      <c r="H5" s="18">
        <f>113787940/1000000</f>
        <v>113.78794000000001</v>
      </c>
      <c r="I5" s="18">
        <f>105360450/1000000</f>
        <v>105.36045</v>
      </c>
      <c r="J5" s="18">
        <f>100766330/1000000</f>
        <v>100.76633</v>
      </c>
      <c r="K5" s="18">
        <f>136284590/1000000</f>
        <v>136.28459000000001</v>
      </c>
      <c r="L5" s="18">
        <f>118771250/1000000</f>
        <v>118.77124999999999</v>
      </c>
      <c r="M5" s="18">
        <f>85020070/1000000</f>
        <v>85.020070000000004</v>
      </c>
      <c r="N5" s="18">
        <f>114174410/1000000</f>
        <v>114.17440999999999</v>
      </c>
      <c r="O5" s="18">
        <f>126248700/1000000</f>
        <v>126.2487</v>
      </c>
      <c r="P5" s="18">
        <f>125505530/1000000</f>
        <v>125.50552999999999</v>
      </c>
      <c r="Q5" s="19">
        <f t="shared" si="0"/>
        <v>113.26882999999999</v>
      </c>
      <c r="R5" s="20"/>
      <c r="S5" s="4"/>
    </row>
    <row r="6" spans="2:19" ht="24" hidden="1" customHeight="1" x14ac:dyDescent="0.25">
      <c r="B6" s="78"/>
      <c r="C6" s="81"/>
      <c r="D6" s="16" t="s">
        <v>18</v>
      </c>
      <c r="E6" s="17">
        <f>94136640/1000000</f>
        <v>94.13664</v>
      </c>
      <c r="F6" s="18">
        <f>105299660/1000000</f>
        <v>105.29966</v>
      </c>
      <c r="G6" s="18">
        <f>105252240/1000000</f>
        <v>105.25224</v>
      </c>
      <c r="H6" s="18">
        <f>107815080/1000000</f>
        <v>107.81507999999999</v>
      </c>
      <c r="I6" s="18">
        <f>100569570/1000000</f>
        <v>100.56957</v>
      </c>
      <c r="J6" s="18">
        <f>109120510/1000000</f>
        <v>109.12051</v>
      </c>
      <c r="K6" s="18">
        <f>167232710/1000000</f>
        <v>167.23271</v>
      </c>
      <c r="L6" s="18">
        <f>123399390/1000000</f>
        <v>123.39939</v>
      </c>
      <c r="M6" s="18">
        <f>138274310/1000000</f>
        <v>138.27431000000001</v>
      </c>
      <c r="N6" s="18">
        <f>133126500/1000000</f>
        <v>133.12649999999999</v>
      </c>
      <c r="O6" s="18">
        <f>165431780/1000000</f>
        <v>165.43178</v>
      </c>
      <c r="P6" s="18" t="e">
        <f>+[1]월별!#REF!/1000000</f>
        <v>#REF!</v>
      </c>
      <c r="Q6" s="19" t="e">
        <f t="shared" si="0"/>
        <v>#REF!</v>
      </c>
      <c r="R6" s="21"/>
      <c r="S6" s="4"/>
    </row>
    <row r="7" spans="2:19" ht="24" hidden="1" customHeight="1" x14ac:dyDescent="0.25">
      <c r="B7" s="78"/>
      <c r="C7" s="81"/>
      <c r="D7" s="16" t="s">
        <v>19</v>
      </c>
      <c r="E7" s="17" t="e">
        <f>+[1]월별!#REF!/1000000</f>
        <v>#REF!</v>
      </c>
      <c r="F7" s="18" t="e">
        <f>+[1]월별!#REF!/1000000</f>
        <v>#REF!</v>
      </c>
      <c r="G7" s="18" t="e">
        <f>+[1]월별!#REF!/1000000</f>
        <v>#REF!</v>
      </c>
      <c r="H7" s="18" t="e">
        <f>+[1]월별!#REF!/1000000</f>
        <v>#REF!</v>
      </c>
      <c r="I7" s="18" t="e">
        <f>+[1]월별!#REF!/1000000</f>
        <v>#REF!</v>
      </c>
      <c r="J7" s="18" t="e">
        <f>+[1]월별!#REF!/1000000</f>
        <v>#REF!</v>
      </c>
      <c r="K7" s="18" t="e">
        <f>+[1]월별!#REF!/1000000</f>
        <v>#REF!</v>
      </c>
      <c r="L7" s="18" t="e">
        <f>+[1]월별!#REF!/1000000</f>
        <v>#REF!</v>
      </c>
      <c r="M7" s="18" t="e">
        <f>+[1]월별!#REF!/1000000</f>
        <v>#REF!</v>
      </c>
      <c r="N7" s="18" t="e">
        <f>+[1]월별!#REF!/1000000</f>
        <v>#REF!</v>
      </c>
      <c r="O7" s="18" t="e">
        <f>+[1]월별!#REF!/1000000</f>
        <v>#REF!</v>
      </c>
      <c r="P7" s="18" t="e">
        <f>+[1]월별!#REF!/1000000</f>
        <v>#REF!</v>
      </c>
      <c r="Q7" s="19" t="e">
        <f t="shared" si="0"/>
        <v>#REF!</v>
      </c>
      <c r="R7" s="22"/>
      <c r="S7" s="4"/>
    </row>
    <row r="8" spans="2:19" ht="24" hidden="1" customHeight="1" x14ac:dyDescent="0.25">
      <c r="B8" s="78"/>
      <c r="C8" s="81"/>
      <c r="D8" s="16" t="s">
        <v>20</v>
      </c>
      <c r="E8" s="17" t="e">
        <f>[1]월별!#REF!/1000000</f>
        <v>#REF!</v>
      </c>
      <c r="F8" s="18" t="e">
        <f>[1]월별!#REF!/1000000</f>
        <v>#REF!</v>
      </c>
      <c r="G8" s="18" t="e">
        <f>[1]월별!#REF!/1000000</f>
        <v>#REF!</v>
      </c>
      <c r="H8" s="18" t="e">
        <f>[1]월별!#REF!/1000000</f>
        <v>#REF!</v>
      </c>
      <c r="I8" s="18" t="e">
        <f>[1]월별!#REF!/1000000</f>
        <v>#REF!</v>
      </c>
      <c r="J8" s="18" t="e">
        <f>[1]월별!#REF!/1000000</f>
        <v>#REF!</v>
      </c>
      <c r="K8" s="18" t="e">
        <f>[1]월별!#REF!/1000000</f>
        <v>#REF!</v>
      </c>
      <c r="L8" s="18" t="e">
        <f>[1]월별!#REF!/1000000</f>
        <v>#REF!</v>
      </c>
      <c r="M8" s="18" t="e">
        <f>[1]월별!#REF!/1000000</f>
        <v>#REF!</v>
      </c>
      <c r="N8" s="18" t="e">
        <f>[1]월별!#REF!/1000000</f>
        <v>#REF!</v>
      </c>
      <c r="O8" s="18" t="e">
        <f>[1]월별!#REF!/1000000</f>
        <v>#REF!</v>
      </c>
      <c r="P8" s="18" t="e">
        <f>[1]월별!#REF!/1000000</f>
        <v>#REF!</v>
      </c>
      <c r="Q8" s="19" t="e">
        <f t="shared" si="0"/>
        <v>#REF!</v>
      </c>
      <c r="R8" s="22"/>
      <c r="S8" s="4"/>
    </row>
    <row r="9" spans="2:19" ht="24" hidden="1" customHeight="1" x14ac:dyDescent="0.25">
      <c r="B9" s="78"/>
      <c r="C9" s="81"/>
      <c r="D9" s="16" t="s">
        <v>21</v>
      </c>
      <c r="E9" s="17" t="e">
        <f>[1]월별!#REF!/1000000</f>
        <v>#REF!</v>
      </c>
      <c r="F9" s="18" t="e">
        <f>[1]월별!#REF!/1000000</f>
        <v>#REF!</v>
      </c>
      <c r="G9" s="18" t="e">
        <f>[1]월별!#REF!/1000000</f>
        <v>#REF!</v>
      </c>
      <c r="H9" s="18" t="e">
        <f>[1]월별!#REF!/1000000</f>
        <v>#REF!</v>
      </c>
      <c r="I9" s="18" t="e">
        <f>[1]월별!#REF!/1000000</f>
        <v>#REF!</v>
      </c>
      <c r="J9" s="18" t="e">
        <f>[1]월별!#REF!/1000000</f>
        <v>#REF!</v>
      </c>
      <c r="K9" s="18" t="e">
        <f>[1]월별!#REF!/1000000</f>
        <v>#REF!</v>
      </c>
      <c r="L9" s="18" t="e">
        <f>[1]월별!#REF!/1000000</f>
        <v>#REF!</v>
      </c>
      <c r="M9" s="18" t="e">
        <f>[1]월별!#REF!/1000000</f>
        <v>#REF!</v>
      </c>
      <c r="N9" s="18" t="e">
        <f>[1]월별!#REF!/1000000</f>
        <v>#REF!</v>
      </c>
      <c r="O9" s="18" t="e">
        <f>[1]월별!#REF!/1000000</f>
        <v>#REF!</v>
      </c>
      <c r="P9" s="18" t="e">
        <f>[1]월별!#REF!/1000000</f>
        <v>#REF!</v>
      </c>
      <c r="Q9" s="19" t="e">
        <f t="shared" si="0"/>
        <v>#REF!</v>
      </c>
      <c r="R9" s="22"/>
      <c r="S9" s="4"/>
    </row>
    <row r="10" spans="2:19" ht="24" hidden="1" customHeight="1" x14ac:dyDescent="0.25">
      <c r="B10" s="78"/>
      <c r="C10" s="81"/>
      <c r="D10" s="16" t="s">
        <v>22</v>
      </c>
      <c r="E10" s="17" t="e">
        <f>[1]월별!#REF!/1000000</f>
        <v>#REF!</v>
      </c>
      <c r="F10" s="18" t="e">
        <f>[1]월별!#REF!/1000000</f>
        <v>#REF!</v>
      </c>
      <c r="G10" s="18" t="e">
        <f>[1]월별!#REF!/1000000</f>
        <v>#REF!</v>
      </c>
      <c r="H10" s="18" t="e">
        <f>[1]월별!#REF!/1000000</f>
        <v>#REF!</v>
      </c>
      <c r="I10" s="18" t="e">
        <f>[1]월별!#REF!/1000000</f>
        <v>#REF!</v>
      </c>
      <c r="J10" s="18" t="e">
        <f>[1]월별!#REF!/1000000</f>
        <v>#REF!</v>
      </c>
      <c r="K10" s="18" t="e">
        <f>[1]월별!#REF!/1000000</f>
        <v>#REF!</v>
      </c>
      <c r="L10" s="18" t="e">
        <f>[1]월별!#REF!/1000000</f>
        <v>#REF!</v>
      </c>
      <c r="M10" s="18" t="e">
        <f>[1]월별!#REF!/1000000</f>
        <v>#REF!</v>
      </c>
      <c r="N10" s="18" t="e">
        <f>[1]월별!#REF!/1000000</f>
        <v>#REF!</v>
      </c>
      <c r="O10" s="18" t="e">
        <f>[1]월별!#REF!/1000000</f>
        <v>#REF!</v>
      </c>
      <c r="P10" s="18" t="e">
        <f>[1]월별!#REF!/1000000</f>
        <v>#REF!</v>
      </c>
      <c r="Q10" s="19" t="e">
        <f t="shared" si="0"/>
        <v>#REF!</v>
      </c>
      <c r="R10" s="22"/>
      <c r="S10" s="4"/>
    </row>
    <row r="11" spans="2:19" ht="24" hidden="1" customHeight="1" x14ac:dyDescent="0.25">
      <c r="B11" s="78"/>
      <c r="C11" s="81"/>
      <c r="D11" s="16" t="s">
        <v>23</v>
      </c>
      <c r="E11" s="17" t="e">
        <f>[1]월별!#REF!/1000000</f>
        <v>#REF!</v>
      </c>
      <c r="F11" s="18" t="e">
        <f>[1]월별!#REF!/1000000</f>
        <v>#REF!</v>
      </c>
      <c r="G11" s="18" t="e">
        <f>[1]월별!#REF!/1000000</f>
        <v>#REF!</v>
      </c>
      <c r="H11" s="18" t="e">
        <f>[1]월별!#REF!/1000000</f>
        <v>#REF!</v>
      </c>
      <c r="I11" s="18" t="e">
        <f>[1]월별!#REF!/1000000</f>
        <v>#REF!</v>
      </c>
      <c r="J11" s="18" t="e">
        <f>[1]월별!#REF!/1000000</f>
        <v>#REF!</v>
      </c>
      <c r="K11" s="18" t="e">
        <f>[1]월별!#REF!/1000000</f>
        <v>#REF!</v>
      </c>
      <c r="L11" s="18" t="e">
        <f>[1]월별!#REF!/1000000</f>
        <v>#REF!</v>
      </c>
      <c r="M11" s="18" t="e">
        <f>[1]월별!#REF!/1000000</f>
        <v>#REF!</v>
      </c>
      <c r="N11" s="18" t="e">
        <f>[1]월별!#REF!/1000000</f>
        <v>#REF!</v>
      </c>
      <c r="O11" s="18" t="e">
        <f>[1]월별!#REF!/1000000</f>
        <v>#REF!</v>
      </c>
      <c r="P11" s="18" t="e">
        <f>[1]월별!#REF!/1000000</f>
        <v>#REF!</v>
      </c>
      <c r="Q11" s="19" t="e">
        <f t="shared" si="0"/>
        <v>#REF!</v>
      </c>
      <c r="R11" s="22"/>
      <c r="S11" s="4"/>
    </row>
    <row r="12" spans="2:19" ht="24" hidden="1" customHeight="1" x14ac:dyDescent="0.25">
      <c r="B12" s="78"/>
      <c r="C12" s="81"/>
      <c r="D12" s="16" t="s">
        <v>24</v>
      </c>
      <c r="E12" s="17" t="e">
        <f>[1]월별!#REF!/1000000</f>
        <v>#REF!</v>
      </c>
      <c r="F12" s="18" t="e">
        <f>[1]월별!#REF!/1000000</f>
        <v>#REF!</v>
      </c>
      <c r="G12" s="18" t="e">
        <f>[1]월별!#REF!/1000000</f>
        <v>#REF!</v>
      </c>
      <c r="H12" s="18" t="e">
        <f>[1]월별!#REF!/1000000</f>
        <v>#REF!</v>
      </c>
      <c r="I12" s="18" t="e">
        <f>[1]월별!#REF!/1000000</f>
        <v>#REF!</v>
      </c>
      <c r="J12" s="18" t="e">
        <f>[1]월별!#REF!/1000000</f>
        <v>#REF!</v>
      </c>
      <c r="K12" s="18" t="e">
        <f>[1]월별!#REF!/1000000</f>
        <v>#REF!</v>
      </c>
      <c r="L12" s="18" t="e">
        <f>[1]월별!#REF!/1000000</f>
        <v>#REF!</v>
      </c>
      <c r="M12" s="18" t="e">
        <f>[1]월별!#REF!/1000000</f>
        <v>#REF!</v>
      </c>
      <c r="N12" s="18" t="e">
        <f>[1]월별!#REF!/1000000</f>
        <v>#REF!</v>
      </c>
      <c r="O12" s="18" t="e">
        <f>[1]월별!#REF!/1000000</f>
        <v>#REF!</v>
      </c>
      <c r="P12" s="18" t="e">
        <f>[1]월별!#REF!/1000000</f>
        <v>#REF!</v>
      </c>
      <c r="Q12" s="19" t="e">
        <f>+AVERAGE(E12:P12)</f>
        <v>#REF!</v>
      </c>
      <c r="R12" s="22"/>
      <c r="S12" s="4"/>
    </row>
    <row r="13" spans="2:19" ht="24" hidden="1" customHeight="1" x14ac:dyDescent="0.25">
      <c r="B13" s="78"/>
      <c r="C13" s="81"/>
      <c r="D13" s="16" t="s">
        <v>25</v>
      </c>
      <c r="E13" s="17" t="e">
        <f>[1]월별!#REF!/1000000</f>
        <v>#REF!</v>
      </c>
      <c r="F13" s="18" t="e">
        <f>[1]월별!#REF!/1000000</f>
        <v>#REF!</v>
      </c>
      <c r="G13" s="18" t="e">
        <f>[1]월별!#REF!/1000000</f>
        <v>#REF!</v>
      </c>
      <c r="H13" s="18" t="e">
        <f>[1]월별!#REF!/1000000</f>
        <v>#REF!</v>
      </c>
      <c r="I13" s="18" t="e">
        <f>[1]월별!#REF!/1000000</f>
        <v>#REF!</v>
      </c>
      <c r="J13" s="18" t="e">
        <f>[1]월별!#REF!/1000000</f>
        <v>#REF!</v>
      </c>
      <c r="K13" s="18" t="e">
        <f>[1]월별!#REF!/1000000</f>
        <v>#REF!</v>
      </c>
      <c r="L13" s="18" t="e">
        <f>[1]월별!#REF!/1000000</f>
        <v>#REF!</v>
      </c>
      <c r="M13" s="18" t="e">
        <f>[1]월별!#REF!/1000000</f>
        <v>#REF!</v>
      </c>
      <c r="N13" s="23" t="e">
        <f>[1]월별!#REF!/1000000</f>
        <v>#REF!</v>
      </c>
      <c r="O13" s="18" t="e">
        <f>[1]월별!#REF!/1000000</f>
        <v>#REF!</v>
      </c>
      <c r="P13" s="18" t="e">
        <f>[1]월별!#REF!/1000000</f>
        <v>#REF!</v>
      </c>
      <c r="Q13" s="19" t="e">
        <f t="shared" si="0"/>
        <v>#REF!</v>
      </c>
      <c r="R13" s="22"/>
      <c r="S13" s="4"/>
    </row>
    <row r="14" spans="2:19" ht="24" hidden="1" customHeight="1" x14ac:dyDescent="0.25">
      <c r="B14" s="78"/>
      <c r="C14" s="81"/>
      <c r="D14" s="16" t="s">
        <v>26</v>
      </c>
      <c r="E14" s="17" t="e">
        <f>[1]월별!#REF!/1000000</f>
        <v>#REF!</v>
      </c>
      <c r="F14" s="18" t="e">
        <f>[1]월별!#REF!/1000000</f>
        <v>#REF!</v>
      </c>
      <c r="G14" s="18" t="e">
        <f>[1]월별!#REF!/1000000</f>
        <v>#REF!</v>
      </c>
      <c r="H14" s="18" t="e">
        <f>[1]월별!#REF!/1000000</f>
        <v>#REF!</v>
      </c>
      <c r="I14" s="18" t="e">
        <f>[1]월별!#REF!/1000000</f>
        <v>#REF!</v>
      </c>
      <c r="J14" s="18" t="e">
        <f>[1]월별!#REF!/1000000</f>
        <v>#REF!</v>
      </c>
      <c r="K14" s="18" t="e">
        <f>[1]월별!#REF!/1000000</f>
        <v>#REF!</v>
      </c>
      <c r="L14" s="18" t="e">
        <f>[1]월별!#REF!/1000000</f>
        <v>#REF!</v>
      </c>
      <c r="M14" s="18" t="e">
        <f>[1]월별!#REF!/1000000</f>
        <v>#REF!</v>
      </c>
      <c r="N14" s="23" t="e">
        <f>[1]월별!#REF!/1000000</f>
        <v>#REF!</v>
      </c>
      <c r="O14" s="18" t="e">
        <f>[1]월별!#REF!/1000000</f>
        <v>#REF!</v>
      </c>
      <c r="P14" s="18" t="e">
        <f>[1]월별!#REF!/1000000</f>
        <v>#REF!</v>
      </c>
      <c r="Q14" s="19" t="e">
        <f t="shared" si="0"/>
        <v>#REF!</v>
      </c>
      <c r="R14" s="22"/>
      <c r="S14" s="4"/>
    </row>
    <row r="15" spans="2:19" ht="24" hidden="1" customHeight="1" x14ac:dyDescent="0.25">
      <c r="B15" s="78"/>
      <c r="C15" s="81"/>
      <c r="D15" s="16" t="s">
        <v>27</v>
      </c>
      <c r="E15" s="17" t="e">
        <f>[1]월별!#REF!/1000000</f>
        <v>#REF!</v>
      </c>
      <c r="F15" s="18" t="e">
        <f>[1]월별!#REF!/1000000</f>
        <v>#REF!</v>
      </c>
      <c r="G15" s="18" t="e">
        <f>[1]월별!#REF!/1000000</f>
        <v>#REF!</v>
      </c>
      <c r="H15" s="18" t="e">
        <f>[1]월별!#REF!/1000000</f>
        <v>#REF!</v>
      </c>
      <c r="I15" s="18" t="e">
        <f>[1]월별!#REF!/1000000</f>
        <v>#REF!</v>
      </c>
      <c r="J15" s="18" t="e">
        <f>[1]월별!#REF!/1000000</f>
        <v>#REF!</v>
      </c>
      <c r="K15" s="18" t="e">
        <f>[1]월별!#REF!/1000000</f>
        <v>#REF!</v>
      </c>
      <c r="L15" s="18" t="e">
        <f>[1]월별!#REF!/1000000</f>
        <v>#REF!</v>
      </c>
      <c r="M15" s="18" t="e">
        <f>[1]월별!#REF!/1000000</f>
        <v>#REF!</v>
      </c>
      <c r="N15" s="18" t="e">
        <f>[1]월별!#REF!/1000000</f>
        <v>#REF!</v>
      </c>
      <c r="O15" s="18" t="e">
        <f>[1]월별!#REF!/1000000</f>
        <v>#REF!</v>
      </c>
      <c r="P15" s="18" t="e">
        <f>[1]월별!#REF!/1000000</f>
        <v>#REF!</v>
      </c>
      <c r="Q15" s="19" t="e">
        <f t="shared" si="0"/>
        <v>#REF!</v>
      </c>
      <c r="R15" s="22"/>
      <c r="S15" s="4"/>
    </row>
    <row r="16" spans="2:19" ht="24" hidden="1" customHeight="1" x14ac:dyDescent="0.25">
      <c r="B16" s="78"/>
      <c r="C16" s="81"/>
      <c r="D16" s="16" t="s">
        <v>28</v>
      </c>
      <c r="E16" s="17" t="e">
        <f>[1]월별!#REF!/1000000</f>
        <v>#REF!</v>
      </c>
      <c r="F16" s="18" t="e">
        <f>[1]월별!#REF!/1000000</f>
        <v>#REF!</v>
      </c>
      <c r="G16" s="18" t="e">
        <f>[1]월별!#REF!/1000000</f>
        <v>#REF!</v>
      </c>
      <c r="H16" s="18" t="e">
        <f>[1]월별!#REF!/1000000</f>
        <v>#REF!</v>
      </c>
      <c r="I16" s="18" t="e">
        <f>[1]월별!#REF!/1000000</f>
        <v>#REF!</v>
      </c>
      <c r="J16" s="18" t="e">
        <f>[1]월별!#REF!/1000000</f>
        <v>#REF!</v>
      </c>
      <c r="K16" s="18" t="e">
        <f>[1]월별!#REF!/1000000</f>
        <v>#REF!</v>
      </c>
      <c r="L16" s="18" t="e">
        <f>[1]월별!#REF!/1000000</f>
        <v>#REF!</v>
      </c>
      <c r="M16" s="18" t="e">
        <f>[1]월별!#REF!/1000000</f>
        <v>#REF!</v>
      </c>
      <c r="N16" s="18" t="e">
        <f>[1]월별!#REF!/1000000</f>
        <v>#REF!</v>
      </c>
      <c r="O16" s="18" t="e">
        <f>[1]월별!#REF!/1000000</f>
        <v>#REF!</v>
      </c>
      <c r="P16" s="18" t="e">
        <f>[1]월별!#REF!/1000000</f>
        <v>#REF!</v>
      </c>
      <c r="Q16" s="19" t="e">
        <f t="shared" si="0"/>
        <v>#REF!</v>
      </c>
      <c r="R16" s="22"/>
      <c r="S16" s="4"/>
    </row>
    <row r="17" spans="2:19" ht="24" hidden="1" customHeight="1" x14ac:dyDescent="0.25">
      <c r="B17" s="78"/>
      <c r="C17" s="81"/>
      <c r="D17" s="16" t="s">
        <v>29</v>
      </c>
      <c r="E17" s="17">
        <f>[1]월별!G38/1000000</f>
        <v>307.48095799999999</v>
      </c>
      <c r="F17" s="18">
        <f>[1]월별!H38/1000000</f>
        <v>274.40757400000001</v>
      </c>
      <c r="G17" s="18">
        <f>[1]월별!I38/1000000</f>
        <v>260.95024999999998</v>
      </c>
      <c r="H17" s="18">
        <f>[1]월별!J38/1000000</f>
        <v>231.78908000000001</v>
      </c>
      <c r="I17" s="18">
        <f>[1]월별!K38/1000000</f>
        <v>184.615587</v>
      </c>
      <c r="J17" s="18">
        <f>[1]월별!L38/1000000</f>
        <v>287.01457199999999</v>
      </c>
      <c r="K17" s="18">
        <f>[1]월별!M38/1000000</f>
        <v>336.25846899999999</v>
      </c>
      <c r="L17" s="18">
        <f>[1]월별!N38/1000000</f>
        <v>274.74934200000001</v>
      </c>
      <c r="M17" s="18">
        <f>[1]월별!O38/1000000</f>
        <v>263.91920699999997</v>
      </c>
      <c r="N17" s="18">
        <f>[1]월별!P38/1000000</f>
        <v>266.67454400000003</v>
      </c>
      <c r="O17" s="18">
        <f>[1]월별!Q38/1000000</f>
        <v>351.75079199999999</v>
      </c>
      <c r="P17" s="18">
        <f>[1]월별!R38/1000000</f>
        <v>358.239238</v>
      </c>
      <c r="Q17" s="19">
        <f t="shared" si="0"/>
        <v>283.15413441666664</v>
      </c>
      <c r="R17" s="22"/>
      <c r="S17" s="4"/>
    </row>
    <row r="18" spans="2:19" ht="21.75" hidden="1" customHeight="1" x14ac:dyDescent="0.25">
      <c r="B18" s="78"/>
      <c r="C18" s="81"/>
      <c r="D18" s="16" t="s">
        <v>30</v>
      </c>
      <c r="E18" s="17">
        <f>[1]월별!S38/1000000</f>
        <v>330.78196200000002</v>
      </c>
      <c r="F18" s="18">
        <f>[1]월별!T38/1000000</f>
        <v>307.55459100000002</v>
      </c>
      <c r="G18" s="18">
        <f>[1]월별!U38/1000000</f>
        <v>274.15258899999998</v>
      </c>
      <c r="H18" s="18">
        <f>[1]월별!V38/1000000</f>
        <v>268.73850599999997</v>
      </c>
      <c r="I18" s="18">
        <f>[1]월별!W38/1000000</f>
        <v>248.51324600000001</v>
      </c>
      <c r="J18" s="18">
        <f>[1]월별!X38/1000000</f>
        <v>319.26218399999999</v>
      </c>
      <c r="K18" s="18">
        <f>[1]월별!Y38/1000000</f>
        <v>342.58214600000002</v>
      </c>
      <c r="L18" s="18">
        <f>[1]월별!Z38/1000000</f>
        <v>277.30772400000001</v>
      </c>
      <c r="M18" s="18">
        <f>[1]월별!AA38/1000000</f>
        <v>209.40181000000001</v>
      </c>
      <c r="N18" s="18">
        <f>[1]월별!AB38/1000000</f>
        <v>244.71757700000001</v>
      </c>
      <c r="O18" s="18">
        <f>[1]월별!AC38/1000000</f>
        <v>344.29784000000001</v>
      </c>
      <c r="P18" s="18">
        <f>[1]월별!AD38/1000000</f>
        <v>350.80931800000002</v>
      </c>
      <c r="Q18" s="19">
        <f t="shared" si="0"/>
        <v>293.17662441666664</v>
      </c>
      <c r="R18" s="22"/>
      <c r="S18" s="4"/>
    </row>
    <row r="19" spans="2:19" ht="11.25" hidden="1" customHeight="1" x14ac:dyDescent="0.25">
      <c r="B19" s="78"/>
      <c r="C19" s="81"/>
      <c r="D19" s="16" t="s">
        <v>31</v>
      </c>
      <c r="E19" s="17">
        <f>[1]월별!AE38/1000000</f>
        <v>347.90669100000002</v>
      </c>
      <c r="F19" s="18">
        <f>[1]월별!AF38/1000000</f>
        <v>317.23137800000001</v>
      </c>
      <c r="G19" s="18">
        <f>[1]월별!AG38/1000000</f>
        <v>253.39872299999999</v>
      </c>
      <c r="H19" s="18">
        <f>[1]월별!AH38/1000000</f>
        <v>248.36275800000001</v>
      </c>
      <c r="I19" s="18">
        <f>[1]월별!AI38/1000000</f>
        <v>280.84282000000002</v>
      </c>
      <c r="J19" s="18">
        <f>[1]월별!AJ38/1000000</f>
        <v>347.30455000000001</v>
      </c>
      <c r="K19" s="18">
        <f>[1]월별!AK38/1000000</f>
        <v>365.65538800000002</v>
      </c>
      <c r="L19" s="18">
        <f>[1]월별!AL38/1000000</f>
        <v>306.88252699999998</v>
      </c>
      <c r="M19" s="18">
        <f>[1]월별!AM38/1000000</f>
        <v>274.80765300000002</v>
      </c>
      <c r="N19" s="18">
        <f>[1]월별!AN38/1000000</f>
        <v>338.04609699999997</v>
      </c>
      <c r="O19" s="18">
        <f>[1]월별!AO38/1000000</f>
        <v>420.38425100000001</v>
      </c>
      <c r="P19" s="18">
        <f>[1]월별!AP38/1000000</f>
        <v>439.33532100000002</v>
      </c>
      <c r="Q19" s="19">
        <f t="shared" si="0"/>
        <v>328.34651308333338</v>
      </c>
      <c r="R19" s="22"/>
      <c r="S19" s="4"/>
    </row>
    <row r="20" spans="2:19" ht="60.75" customHeight="1" x14ac:dyDescent="0.25">
      <c r="B20" s="78"/>
      <c r="C20" s="81"/>
      <c r="D20" s="16" t="s">
        <v>32</v>
      </c>
      <c r="E20" s="24">
        <f>[1]월별!AQ38/1000000</f>
        <v>468.74467900000002</v>
      </c>
      <c r="F20" s="25">
        <f>[1]월별!AR38/1000000</f>
        <v>449.58973400000002</v>
      </c>
      <c r="G20" s="25">
        <f>[1]월별!AS38/1000000</f>
        <v>406.649654</v>
      </c>
      <c r="H20" s="25">
        <f>[1]월별!AT38/1000000</f>
        <v>377.69385399999999</v>
      </c>
      <c r="I20" s="25">
        <f>[1]월별!AU38/1000000</f>
        <v>388.850775</v>
      </c>
      <c r="J20" s="25">
        <f>[1]월별!AV38/1000000</f>
        <v>433.33840300000003</v>
      </c>
      <c r="K20" s="25">
        <f>[1]월별!AW38/1000000</f>
        <v>418.28948300000002</v>
      </c>
      <c r="L20" s="25">
        <f>[1]월별!AX38/1000000</f>
        <v>417.161833</v>
      </c>
      <c r="M20" s="25">
        <f>[1]월별!AY38/1000000</f>
        <v>348.64249000000001</v>
      </c>
      <c r="N20" s="25">
        <f>[1]월별!AZ38/1000000</f>
        <v>348.10342900000001</v>
      </c>
      <c r="O20" s="26">
        <f>[1]월별!BA38/1000000</f>
        <v>458.29050899999999</v>
      </c>
      <c r="P20" s="25">
        <f>[1]월별!BB38/1000000</f>
        <v>411.906948</v>
      </c>
      <c r="Q20" s="25">
        <f t="shared" si="0"/>
        <v>410.60514925000007</v>
      </c>
      <c r="R20" s="63" t="s">
        <v>84</v>
      </c>
      <c r="S20" s="4"/>
    </row>
    <row r="21" spans="2:19" ht="60.75" customHeight="1" x14ac:dyDescent="0.25">
      <c r="B21" s="78"/>
      <c r="C21" s="81"/>
      <c r="D21" s="16" t="s">
        <v>33</v>
      </c>
      <c r="E21" s="24">
        <f>[1]월별!BC38/1000000</f>
        <v>481.02238799999998</v>
      </c>
      <c r="F21" s="25">
        <f>[1]월별!BD38/1000000</f>
        <v>429.58587299999999</v>
      </c>
      <c r="G21" s="25">
        <f>[1]월별!BE38/1000000</f>
        <v>389.65610199999998</v>
      </c>
      <c r="H21" s="25">
        <f>[1]월별!BF38/1000000</f>
        <v>379.23181299999999</v>
      </c>
      <c r="I21" s="25">
        <f>[1]월별!BG38/1000000</f>
        <v>375.54378200000002</v>
      </c>
      <c r="J21" s="25">
        <f>[1]월별!BH38/1000000</f>
        <v>441.418385</v>
      </c>
      <c r="K21" s="25">
        <f>[1]월별!BI38/1000000</f>
        <v>415.39849199999998</v>
      </c>
      <c r="L21" s="25">
        <f>[1]월별!BJ38/1000000</f>
        <v>423.27445</v>
      </c>
      <c r="M21" s="25">
        <f>[1]월별!BK38/1000000</f>
        <v>330.74974300000002</v>
      </c>
      <c r="N21" s="25">
        <f>[1]월별!BL38/1000000</f>
        <v>420.46138000000002</v>
      </c>
      <c r="O21" s="27">
        <f>[1]월별!BM38/1000000</f>
        <v>475.62191100000001</v>
      </c>
      <c r="P21" s="25">
        <f>[1]월별!BN38/1000000</f>
        <v>493.66654</v>
      </c>
      <c r="Q21" s="25">
        <f t="shared" si="0"/>
        <v>421.3025715833333</v>
      </c>
      <c r="R21" s="64"/>
      <c r="S21" s="4"/>
    </row>
    <row r="22" spans="2:19" ht="60.75" customHeight="1" x14ac:dyDescent="0.25">
      <c r="B22" s="78"/>
      <c r="C22" s="81"/>
      <c r="D22" s="16" t="s">
        <v>34</v>
      </c>
      <c r="E22" s="24">
        <f>[1]월별!BO38/1000000</f>
        <v>471.60721799999999</v>
      </c>
      <c r="F22" s="25">
        <f>[1]월별!BP38/1000000</f>
        <v>484.05639100000002</v>
      </c>
      <c r="G22" s="25">
        <f>[1]월별!BQ38/1000000</f>
        <v>441.49141800000001</v>
      </c>
      <c r="H22" s="25">
        <f>[1]월별!BR38/1000000</f>
        <v>430.06834300000003</v>
      </c>
      <c r="I22" s="25">
        <f>[1]월별!BS38/1000000</f>
        <v>435.28829400000001</v>
      </c>
      <c r="J22" s="25">
        <f>[1]월별!BT38/1000000</f>
        <v>470.98454800000002</v>
      </c>
      <c r="K22" s="25">
        <f>[1]월별!BU38/1000000</f>
        <v>419.363317</v>
      </c>
      <c r="L22" s="25">
        <f>[1]월별!BV38/1000000</f>
        <v>410.11799200000002</v>
      </c>
      <c r="M22" s="25">
        <f>[1]월별!BW38/1000000</f>
        <v>385.37416000000002</v>
      </c>
      <c r="N22" s="25">
        <f>[1]월별!BX38/1000000</f>
        <v>341.175701</v>
      </c>
      <c r="O22" s="25">
        <f>[1]월별!BY38/1000000</f>
        <v>457.45089000000002</v>
      </c>
      <c r="P22" s="25">
        <f>[1]월별!BZ38/1000000</f>
        <v>444.93493100000001</v>
      </c>
      <c r="Q22" s="25">
        <f t="shared" si="0"/>
        <v>432.65943358333328</v>
      </c>
      <c r="R22" s="64"/>
      <c r="S22" s="4"/>
    </row>
    <row r="23" spans="2:19" ht="59.4" customHeight="1" x14ac:dyDescent="0.25">
      <c r="B23" s="79"/>
      <c r="C23" s="82"/>
      <c r="D23" s="16" t="s">
        <v>35</v>
      </c>
      <c r="E23" s="24">
        <f>[1]월별!CA38/1000000</f>
        <v>472.62159600000001</v>
      </c>
      <c r="F23" s="25">
        <f>[1]월별!CB38/1000000</f>
        <v>405.42731400000002</v>
      </c>
      <c r="G23" s="25">
        <f>404961107/1000000</f>
        <v>404.96110700000003</v>
      </c>
      <c r="H23" s="25">
        <v>387.769837</v>
      </c>
      <c r="I23" s="25"/>
      <c r="J23" s="25"/>
      <c r="K23" s="25"/>
      <c r="L23" s="25"/>
      <c r="M23" s="25"/>
      <c r="N23" s="25"/>
      <c r="O23" s="25"/>
      <c r="P23" s="25"/>
      <c r="Q23" s="25">
        <f t="shared" si="0"/>
        <v>417.69496350000003</v>
      </c>
      <c r="R23" s="65"/>
      <c r="S23" s="4"/>
    </row>
    <row r="24" spans="2:19" ht="24" hidden="1" customHeight="1" x14ac:dyDescent="0.25">
      <c r="B24" s="85" t="s">
        <v>36</v>
      </c>
      <c r="C24" s="80" t="s">
        <v>37</v>
      </c>
      <c r="D24" s="16" t="s">
        <v>16</v>
      </c>
      <c r="E24" s="28">
        <v>24.2</v>
      </c>
      <c r="F24" s="29">
        <v>23.07</v>
      </c>
      <c r="G24" s="29">
        <v>27</v>
      </c>
      <c r="H24" s="29">
        <v>26.3</v>
      </c>
      <c r="I24" s="29">
        <v>28.33</v>
      </c>
      <c r="J24" s="29">
        <v>27</v>
      </c>
      <c r="K24" s="29">
        <v>22.7</v>
      </c>
      <c r="L24" s="29">
        <v>22.7</v>
      </c>
      <c r="M24" s="29">
        <v>22.75</v>
      </c>
      <c r="N24" s="29">
        <v>29.55</v>
      </c>
      <c r="O24" s="29">
        <v>29</v>
      </c>
      <c r="P24" s="29">
        <v>28.5</v>
      </c>
      <c r="Q24" s="19">
        <f t="shared" si="0"/>
        <v>25.924999999999997</v>
      </c>
      <c r="R24" s="30"/>
      <c r="S24" s="4"/>
    </row>
    <row r="25" spans="2:19" ht="24" hidden="1" customHeight="1" x14ac:dyDescent="0.25">
      <c r="B25" s="86"/>
      <c r="C25" s="81"/>
      <c r="D25" s="16" t="s">
        <v>38</v>
      </c>
      <c r="E25" s="28">
        <v>28</v>
      </c>
      <c r="F25" s="29">
        <v>23.65</v>
      </c>
      <c r="G25" s="29">
        <v>27.54</v>
      </c>
      <c r="H25" s="29">
        <v>7312.576</v>
      </c>
      <c r="I25" s="29">
        <v>21.92</v>
      </c>
      <c r="J25" s="29">
        <v>21.45</v>
      </c>
      <c r="K25" s="29">
        <v>22.6</v>
      </c>
      <c r="L25" s="29">
        <v>19.899999999999999</v>
      </c>
      <c r="M25" s="29">
        <v>16.899999999999999</v>
      </c>
      <c r="N25" s="29">
        <v>25.2</v>
      </c>
      <c r="O25" s="29">
        <v>20.75</v>
      </c>
      <c r="P25" s="29">
        <v>17.600000000000001</v>
      </c>
      <c r="Q25" s="19">
        <f t="shared" si="0"/>
        <v>629.84049999999991</v>
      </c>
      <c r="R25" s="31"/>
    </row>
    <row r="26" spans="2:19" ht="24" hidden="1" customHeight="1" x14ac:dyDescent="0.25">
      <c r="B26" s="86"/>
      <c r="C26" s="81"/>
      <c r="D26" s="16" t="s">
        <v>39</v>
      </c>
      <c r="E26" s="28">
        <v>11</v>
      </c>
      <c r="F26" s="29">
        <v>15</v>
      </c>
      <c r="G26" s="29">
        <v>18.600000000000001</v>
      </c>
      <c r="H26" s="29">
        <v>0.32337058787491779</v>
      </c>
      <c r="I26" s="29">
        <v>18.2</v>
      </c>
      <c r="J26" s="29">
        <v>21.1</v>
      </c>
      <c r="K26" s="29">
        <v>23.8</v>
      </c>
      <c r="L26" s="29">
        <v>16.899999999999999</v>
      </c>
      <c r="M26" s="29">
        <v>26.9</v>
      </c>
      <c r="N26" s="29">
        <v>25</v>
      </c>
      <c r="O26" s="29">
        <v>26.65</v>
      </c>
      <c r="P26" s="29" t="e">
        <f>+[1]월별!#REF!</f>
        <v>#REF!</v>
      </c>
      <c r="Q26" s="19" t="e">
        <f t="shared" si="0"/>
        <v>#REF!</v>
      </c>
      <c r="R26" s="31"/>
    </row>
    <row r="27" spans="2:19" ht="24" hidden="1" customHeight="1" x14ac:dyDescent="0.25">
      <c r="B27" s="86"/>
      <c r="C27" s="81"/>
      <c r="D27" s="16" t="s">
        <v>19</v>
      </c>
      <c r="E27" s="28" t="e">
        <f>+[1]월별!#REF!</f>
        <v>#REF!</v>
      </c>
      <c r="F27" s="29" t="e">
        <f>+[1]월별!#REF!</f>
        <v>#REF!</v>
      </c>
      <c r="G27" s="29" t="e">
        <f>+[1]월별!#REF!</f>
        <v>#REF!</v>
      </c>
      <c r="H27" s="29" t="e">
        <f>+[1]월별!#REF!</f>
        <v>#REF!</v>
      </c>
      <c r="I27" s="29" t="e">
        <f>+[1]월별!#REF!</f>
        <v>#REF!</v>
      </c>
      <c r="J27" s="29" t="e">
        <f>+[1]월별!#REF!</f>
        <v>#REF!</v>
      </c>
      <c r="K27" s="29" t="e">
        <f>+[1]월별!#REF!</f>
        <v>#REF!</v>
      </c>
      <c r="L27" s="29" t="e">
        <f>+[1]월별!#REF!</f>
        <v>#REF!</v>
      </c>
      <c r="M27" s="29" t="e">
        <f>+[1]월별!#REF!</f>
        <v>#REF!</v>
      </c>
      <c r="N27" s="29" t="e">
        <f>+[1]월별!#REF!</f>
        <v>#REF!</v>
      </c>
      <c r="O27" s="29" t="e">
        <f>+[1]월별!#REF!</f>
        <v>#REF!</v>
      </c>
      <c r="P27" s="29" t="e">
        <f>+[1]월별!#REF!</f>
        <v>#REF!</v>
      </c>
      <c r="Q27" s="19" t="e">
        <f t="shared" si="0"/>
        <v>#REF!</v>
      </c>
      <c r="R27" s="31"/>
    </row>
    <row r="28" spans="2:19" ht="24" hidden="1" customHeight="1" x14ac:dyDescent="0.25">
      <c r="B28" s="86"/>
      <c r="C28" s="81"/>
      <c r="D28" s="16" t="s">
        <v>20</v>
      </c>
      <c r="E28" s="28" t="e">
        <f>[1]월별!#REF!</f>
        <v>#REF!</v>
      </c>
      <c r="F28" s="29" t="e">
        <f>[1]월별!#REF!</f>
        <v>#REF!</v>
      </c>
      <c r="G28" s="29" t="e">
        <f>[1]월별!#REF!</f>
        <v>#REF!</v>
      </c>
      <c r="H28" s="29" t="e">
        <f>[1]월별!#REF!</f>
        <v>#REF!</v>
      </c>
      <c r="I28" s="29" t="e">
        <f>[1]월별!#REF!</f>
        <v>#REF!</v>
      </c>
      <c r="J28" s="29" t="e">
        <f>[1]월별!#REF!</f>
        <v>#REF!</v>
      </c>
      <c r="K28" s="29" t="e">
        <f>[1]월별!#REF!</f>
        <v>#REF!</v>
      </c>
      <c r="L28" s="29" t="e">
        <f>[1]월별!#REF!</f>
        <v>#REF!</v>
      </c>
      <c r="M28" s="29" t="e">
        <f>[1]월별!#REF!</f>
        <v>#REF!</v>
      </c>
      <c r="N28" s="29" t="e">
        <f>[1]월별!#REF!</f>
        <v>#REF!</v>
      </c>
      <c r="O28" s="29" t="e">
        <f>[1]월별!#REF!</f>
        <v>#REF!</v>
      </c>
      <c r="P28" s="29" t="e">
        <f>[1]월별!#REF!</f>
        <v>#REF!</v>
      </c>
      <c r="Q28" s="19" t="e">
        <f t="shared" si="0"/>
        <v>#REF!</v>
      </c>
      <c r="R28" s="31"/>
    </row>
    <row r="29" spans="2:19" ht="24" hidden="1" customHeight="1" x14ac:dyDescent="0.25">
      <c r="B29" s="86"/>
      <c r="C29" s="81"/>
      <c r="D29" s="32" t="s">
        <v>40</v>
      </c>
      <c r="E29" s="28" t="e">
        <f>[1]월별!#REF!</f>
        <v>#REF!</v>
      </c>
      <c r="F29" s="29" t="e">
        <f>[1]월별!#REF!</f>
        <v>#REF!</v>
      </c>
      <c r="G29" s="29" t="e">
        <f>[1]월별!#REF!</f>
        <v>#REF!</v>
      </c>
      <c r="H29" s="29" t="e">
        <f>[1]월별!#REF!</f>
        <v>#REF!</v>
      </c>
      <c r="I29" s="29" t="e">
        <f>[1]월별!#REF!</f>
        <v>#REF!</v>
      </c>
      <c r="J29" s="29" t="e">
        <f>[1]월별!#REF!</f>
        <v>#REF!</v>
      </c>
      <c r="K29" s="29" t="e">
        <f>[1]월별!#REF!</f>
        <v>#REF!</v>
      </c>
      <c r="L29" s="29" t="e">
        <f>[1]월별!#REF!</f>
        <v>#REF!</v>
      </c>
      <c r="M29" s="29" t="e">
        <f>[1]월별!#REF!</f>
        <v>#REF!</v>
      </c>
      <c r="N29" s="29" t="e">
        <f>[1]월별!#REF!</f>
        <v>#REF!</v>
      </c>
      <c r="O29" s="29" t="e">
        <f>[1]월별!#REF!</f>
        <v>#REF!</v>
      </c>
      <c r="P29" s="29" t="e">
        <f>[1]월별!#REF!</f>
        <v>#REF!</v>
      </c>
      <c r="Q29" s="19" t="e">
        <f t="shared" si="0"/>
        <v>#REF!</v>
      </c>
      <c r="R29" s="31"/>
    </row>
    <row r="30" spans="2:19" ht="24" hidden="1" customHeight="1" x14ac:dyDescent="0.25">
      <c r="B30" s="86"/>
      <c r="C30" s="81"/>
      <c r="D30" s="16" t="s">
        <v>41</v>
      </c>
      <c r="E30" s="17" t="e">
        <f>[1]월별!#REF!</f>
        <v>#REF!</v>
      </c>
      <c r="F30" s="18" t="e">
        <f>[1]월별!#REF!</f>
        <v>#REF!</v>
      </c>
      <c r="G30" s="18" t="e">
        <f>[1]월별!#REF!</f>
        <v>#REF!</v>
      </c>
      <c r="H30" s="18" t="e">
        <f>[1]월별!#REF!</f>
        <v>#REF!</v>
      </c>
      <c r="I30" s="18" t="e">
        <f>[1]월별!#REF!</f>
        <v>#REF!</v>
      </c>
      <c r="J30" s="18" t="e">
        <f>[1]월별!#REF!</f>
        <v>#REF!</v>
      </c>
      <c r="K30" s="18" t="e">
        <f>[1]월별!#REF!</f>
        <v>#REF!</v>
      </c>
      <c r="L30" s="18" t="e">
        <f>[1]월별!#REF!</f>
        <v>#REF!</v>
      </c>
      <c r="M30" s="18" t="e">
        <f>[1]월별!#REF!</f>
        <v>#REF!</v>
      </c>
      <c r="N30" s="18" t="e">
        <f>[1]월별!#REF!</f>
        <v>#REF!</v>
      </c>
      <c r="O30" s="18" t="e">
        <f>[1]월별!#REF!</f>
        <v>#REF!</v>
      </c>
      <c r="P30" s="18" t="e">
        <f>[1]월별!#REF!</f>
        <v>#REF!</v>
      </c>
      <c r="Q30" s="19" t="e">
        <f t="shared" si="0"/>
        <v>#REF!</v>
      </c>
      <c r="R30" s="31"/>
    </row>
    <row r="31" spans="2:19" ht="24" hidden="1" customHeight="1" x14ac:dyDescent="0.25">
      <c r="B31" s="86"/>
      <c r="C31" s="81"/>
      <c r="D31" s="16" t="s">
        <v>42</v>
      </c>
      <c r="E31" s="17" t="e">
        <f>[1]월별!#REF!</f>
        <v>#REF!</v>
      </c>
      <c r="F31" s="18" t="e">
        <f>[1]월별!#REF!</f>
        <v>#REF!</v>
      </c>
      <c r="G31" s="18" t="e">
        <f>[1]월별!#REF!</f>
        <v>#REF!</v>
      </c>
      <c r="H31" s="18" t="e">
        <f>[1]월별!#REF!</f>
        <v>#REF!</v>
      </c>
      <c r="I31" s="18" t="e">
        <f>[1]월별!#REF!</f>
        <v>#REF!</v>
      </c>
      <c r="J31" s="18" t="e">
        <f>[1]월별!#REF!</f>
        <v>#REF!</v>
      </c>
      <c r="K31" s="18" t="e">
        <f>[1]월별!#REF!</f>
        <v>#REF!</v>
      </c>
      <c r="L31" s="18" t="e">
        <f>[1]월별!#REF!</f>
        <v>#REF!</v>
      </c>
      <c r="M31" s="18" t="e">
        <f>[1]월별!#REF!</f>
        <v>#REF!</v>
      </c>
      <c r="N31" s="18" t="e">
        <f>[1]월별!#REF!</f>
        <v>#REF!</v>
      </c>
      <c r="O31" s="18" t="e">
        <f>[1]월별!#REF!</f>
        <v>#REF!</v>
      </c>
      <c r="P31" s="18" t="e">
        <f>[1]월별!#REF!</f>
        <v>#REF!</v>
      </c>
      <c r="Q31" s="29" t="e">
        <f t="shared" si="0"/>
        <v>#REF!</v>
      </c>
      <c r="R31" s="31"/>
    </row>
    <row r="32" spans="2:19" ht="24" hidden="1" customHeight="1" x14ac:dyDescent="0.25">
      <c r="B32" s="86"/>
      <c r="C32" s="81"/>
      <c r="D32" s="16" t="s">
        <v>43</v>
      </c>
      <c r="E32" s="17" t="e">
        <f>[1]월별!#REF!</f>
        <v>#REF!</v>
      </c>
      <c r="F32" s="18" t="e">
        <f>[1]월별!#REF!</f>
        <v>#REF!</v>
      </c>
      <c r="G32" s="18" t="e">
        <f>[1]월별!#REF!</f>
        <v>#REF!</v>
      </c>
      <c r="H32" s="18" t="e">
        <f>[1]월별!#REF!</f>
        <v>#REF!</v>
      </c>
      <c r="I32" s="18" t="e">
        <f>[1]월별!#REF!</f>
        <v>#REF!</v>
      </c>
      <c r="J32" s="18" t="e">
        <f>[1]월별!#REF!</f>
        <v>#REF!</v>
      </c>
      <c r="K32" s="18" t="e">
        <f>[1]월별!#REF!</f>
        <v>#REF!</v>
      </c>
      <c r="L32" s="18" t="e">
        <f>[1]월별!#REF!</f>
        <v>#REF!</v>
      </c>
      <c r="M32" s="18" t="e">
        <f>[1]월별!#REF!</f>
        <v>#REF!</v>
      </c>
      <c r="N32" s="18" t="e">
        <f>[1]월별!#REF!</f>
        <v>#REF!</v>
      </c>
      <c r="O32" s="18" t="e">
        <f>[1]월별!#REF!</f>
        <v>#REF!</v>
      </c>
      <c r="P32" s="18" t="e">
        <f>[1]월별!#REF!</f>
        <v>#REF!</v>
      </c>
      <c r="Q32" s="29" t="e">
        <f>+AVERAGE(E32:P32)</f>
        <v>#REF!</v>
      </c>
      <c r="R32" s="31"/>
    </row>
    <row r="33" spans="2:19" ht="24" hidden="1" customHeight="1" x14ac:dyDescent="0.25">
      <c r="B33" s="86"/>
      <c r="C33" s="81"/>
      <c r="D33" s="16" t="s">
        <v>25</v>
      </c>
      <c r="E33" s="17" t="e">
        <f>[1]월별!#REF!</f>
        <v>#REF!</v>
      </c>
      <c r="F33" s="18" t="e">
        <f>[1]월별!#REF!</f>
        <v>#REF!</v>
      </c>
      <c r="G33" s="18" t="e">
        <f>[1]월별!#REF!</f>
        <v>#REF!</v>
      </c>
      <c r="H33" s="18" t="e">
        <f>[1]월별!#REF!</f>
        <v>#REF!</v>
      </c>
      <c r="I33" s="18" t="e">
        <f>[1]월별!#REF!</f>
        <v>#REF!</v>
      </c>
      <c r="J33" s="18" t="e">
        <f>[1]월별!#REF!</f>
        <v>#REF!</v>
      </c>
      <c r="K33" s="18" t="e">
        <f>[1]월별!#REF!</f>
        <v>#REF!</v>
      </c>
      <c r="L33" s="18" t="e">
        <f>[1]월별!#REF!</f>
        <v>#REF!</v>
      </c>
      <c r="M33" s="18" t="e">
        <f>[1]월별!#REF!</f>
        <v>#REF!</v>
      </c>
      <c r="N33" s="18" t="e">
        <f>[1]월별!#REF!</f>
        <v>#REF!</v>
      </c>
      <c r="O33" s="18" t="e">
        <f>[1]월별!#REF!</f>
        <v>#REF!</v>
      </c>
      <c r="P33" s="18" t="e">
        <f>[1]월별!#REF!</f>
        <v>#REF!</v>
      </c>
      <c r="Q33" s="29" t="e">
        <f t="shared" si="0"/>
        <v>#REF!</v>
      </c>
      <c r="R33" s="31"/>
    </row>
    <row r="34" spans="2:19" ht="24" hidden="1" customHeight="1" x14ac:dyDescent="0.25">
      <c r="B34" s="86"/>
      <c r="C34" s="81"/>
      <c r="D34" s="16" t="s">
        <v>26</v>
      </c>
      <c r="E34" s="17" t="e">
        <f>[1]월별!#REF!</f>
        <v>#REF!</v>
      </c>
      <c r="F34" s="18" t="e">
        <f>[1]월별!#REF!</f>
        <v>#REF!</v>
      </c>
      <c r="G34" s="18" t="e">
        <f>[1]월별!#REF!</f>
        <v>#REF!</v>
      </c>
      <c r="H34" s="18" t="e">
        <f>[1]월별!#REF!</f>
        <v>#REF!</v>
      </c>
      <c r="I34" s="18" t="e">
        <f>[1]월별!#REF!</f>
        <v>#REF!</v>
      </c>
      <c r="J34" s="18" t="e">
        <f>[1]월별!#REF!</f>
        <v>#REF!</v>
      </c>
      <c r="K34" s="18" t="e">
        <f>[1]월별!#REF!</f>
        <v>#REF!</v>
      </c>
      <c r="L34" s="18" t="e">
        <f>[1]월별!#REF!</f>
        <v>#REF!</v>
      </c>
      <c r="M34" s="18" t="e">
        <f>[1]월별!#REF!</f>
        <v>#REF!</v>
      </c>
      <c r="N34" s="18" t="e">
        <f>[1]월별!#REF!</f>
        <v>#REF!</v>
      </c>
      <c r="O34" s="18" t="e">
        <f>[1]월별!#REF!</f>
        <v>#REF!</v>
      </c>
      <c r="P34" s="18" t="e">
        <f>[1]월별!#REF!</f>
        <v>#REF!</v>
      </c>
      <c r="Q34" s="29" t="e">
        <f t="shared" si="0"/>
        <v>#REF!</v>
      </c>
      <c r="R34" s="31"/>
    </row>
    <row r="35" spans="2:19" ht="27.75" hidden="1" customHeight="1" x14ac:dyDescent="0.25">
      <c r="B35" s="86"/>
      <c r="C35" s="81"/>
      <c r="D35" s="16" t="s">
        <v>44</v>
      </c>
      <c r="E35" s="17" t="e">
        <f>[1]월별!#REF!</f>
        <v>#REF!</v>
      </c>
      <c r="F35" s="18" t="e">
        <f>[1]월별!#REF!</f>
        <v>#REF!</v>
      </c>
      <c r="G35" s="18" t="e">
        <f>[1]월별!#REF!</f>
        <v>#REF!</v>
      </c>
      <c r="H35" s="18" t="e">
        <f>[1]월별!#REF!</f>
        <v>#REF!</v>
      </c>
      <c r="I35" s="18" t="e">
        <f>[1]월별!#REF!</f>
        <v>#REF!</v>
      </c>
      <c r="J35" s="18" t="e">
        <f>[1]월별!#REF!</f>
        <v>#REF!</v>
      </c>
      <c r="K35" s="18" t="e">
        <f>[1]월별!#REF!</f>
        <v>#REF!</v>
      </c>
      <c r="L35" s="18" t="e">
        <f>[1]월별!#REF!</f>
        <v>#REF!</v>
      </c>
      <c r="M35" s="18" t="e">
        <f>[1]월별!#REF!</f>
        <v>#REF!</v>
      </c>
      <c r="N35" s="18" t="e">
        <f>[1]월별!#REF!</f>
        <v>#REF!</v>
      </c>
      <c r="O35" s="18" t="e">
        <f>[1]월별!#REF!</f>
        <v>#REF!</v>
      </c>
      <c r="P35" s="18" t="e">
        <f>[1]월별!#REF!</f>
        <v>#REF!</v>
      </c>
      <c r="Q35" s="29" t="e">
        <f t="shared" si="0"/>
        <v>#REF!</v>
      </c>
      <c r="R35" s="31"/>
    </row>
    <row r="36" spans="2:19" ht="24" hidden="1" customHeight="1" x14ac:dyDescent="0.25">
      <c r="B36" s="86"/>
      <c r="C36" s="81"/>
      <c r="D36" s="16" t="s">
        <v>45</v>
      </c>
      <c r="E36" s="17" t="e">
        <f>[1]월별!#REF!</f>
        <v>#REF!</v>
      </c>
      <c r="F36" s="18" t="e">
        <f>[1]월별!#REF!</f>
        <v>#REF!</v>
      </c>
      <c r="G36" s="18" t="e">
        <f>[1]월별!#REF!</f>
        <v>#REF!</v>
      </c>
      <c r="H36" s="18" t="e">
        <f>[1]월별!#REF!</f>
        <v>#REF!</v>
      </c>
      <c r="I36" s="18" t="e">
        <f>[1]월별!#REF!</f>
        <v>#REF!</v>
      </c>
      <c r="J36" s="18" t="e">
        <f>[1]월별!#REF!</f>
        <v>#REF!</v>
      </c>
      <c r="K36" s="18" t="e">
        <f>[1]월별!#REF!</f>
        <v>#REF!</v>
      </c>
      <c r="L36" s="18" t="e">
        <f>[1]월별!#REF!</f>
        <v>#REF!</v>
      </c>
      <c r="M36" s="18" t="e">
        <f>[1]월별!#REF!</f>
        <v>#REF!</v>
      </c>
      <c r="N36" s="18" t="e">
        <f>[1]월별!#REF!</f>
        <v>#REF!</v>
      </c>
      <c r="O36" s="18" t="e">
        <f>[1]월별!#REF!</f>
        <v>#REF!</v>
      </c>
      <c r="P36" s="18" t="e">
        <f>[1]월별!#REF!</f>
        <v>#REF!</v>
      </c>
      <c r="Q36" s="29" t="e">
        <f t="shared" si="0"/>
        <v>#REF!</v>
      </c>
      <c r="R36" s="31"/>
    </row>
    <row r="37" spans="2:19" ht="24" hidden="1" customHeight="1" x14ac:dyDescent="0.25">
      <c r="B37" s="86"/>
      <c r="C37" s="81"/>
      <c r="D37" s="16" t="s">
        <v>29</v>
      </c>
      <c r="E37" s="17">
        <f>[1]월별!G39</f>
        <v>24.5</v>
      </c>
      <c r="F37" s="18">
        <f>[1]월별!H39</f>
        <v>20.2</v>
      </c>
      <c r="G37" s="18">
        <f>[1]월별!I39</f>
        <v>28.5</v>
      </c>
      <c r="H37" s="18">
        <f>[1]월별!J39</f>
        <v>24.5</v>
      </c>
      <c r="I37" s="18">
        <f>[1]월별!K39</f>
        <v>17.5</v>
      </c>
      <c r="J37" s="18">
        <f>[1]월별!L39</f>
        <v>21</v>
      </c>
      <c r="K37" s="18">
        <f>[1]월별!M39</f>
        <v>27.1</v>
      </c>
      <c r="L37" s="18">
        <f>[1]월별!N39</f>
        <v>22.1</v>
      </c>
      <c r="M37" s="18">
        <f>[1]월별!O39</f>
        <v>27.6</v>
      </c>
      <c r="N37" s="18">
        <f>[1]월별!P39</f>
        <v>29.9</v>
      </c>
      <c r="O37" s="18">
        <f>[1]월별!Q39</f>
        <v>28.8</v>
      </c>
      <c r="P37" s="18">
        <f>[1]월별!R39</f>
        <v>28.1</v>
      </c>
      <c r="Q37" s="29">
        <f t="shared" si="0"/>
        <v>24.983333333333334</v>
      </c>
      <c r="R37" s="31"/>
    </row>
    <row r="38" spans="2:19" ht="24" hidden="1" customHeight="1" x14ac:dyDescent="0.25">
      <c r="B38" s="86"/>
      <c r="C38" s="81"/>
      <c r="D38" s="16" t="s">
        <v>30</v>
      </c>
      <c r="E38" s="17">
        <f>[1]월별!S39</f>
        <v>24.7</v>
      </c>
      <c r="F38" s="18">
        <f>[1]월별!T39</f>
        <v>24.7</v>
      </c>
      <c r="G38" s="18">
        <f>[1]월별!U39</f>
        <v>29.7</v>
      </c>
      <c r="H38" s="18">
        <f>[1]월별!V39</f>
        <v>29.4</v>
      </c>
      <c r="I38" s="18">
        <f>[1]월별!W39</f>
        <v>27</v>
      </c>
      <c r="J38" s="18">
        <f>[1]월별!X39</f>
        <v>25.5</v>
      </c>
      <c r="K38" s="18">
        <f>[1]월별!Y39</f>
        <v>29</v>
      </c>
      <c r="L38" s="18">
        <f>[1]월별!Z39</f>
        <v>21.9</v>
      </c>
      <c r="M38" s="18">
        <f>[1]월별!AA39</f>
        <v>21.5</v>
      </c>
      <c r="N38" s="18">
        <f>[1]월별!AB39</f>
        <v>24.7</v>
      </c>
      <c r="O38" s="18">
        <f>[1]월별!AC39</f>
        <v>27.5</v>
      </c>
      <c r="P38" s="18">
        <f>[1]월별!AD39</f>
        <v>27.2</v>
      </c>
      <c r="Q38" s="29">
        <f t="shared" si="0"/>
        <v>26.066666666666666</v>
      </c>
      <c r="R38" s="31"/>
    </row>
    <row r="39" spans="2:19" ht="10.5" hidden="1" customHeight="1" x14ac:dyDescent="0.25">
      <c r="B39" s="86"/>
      <c r="C39" s="81"/>
      <c r="D39" s="16" t="s">
        <v>31</v>
      </c>
      <c r="E39" s="17">
        <f>[1]월별!AE39</f>
        <v>28.9</v>
      </c>
      <c r="F39" s="18">
        <f>[1]월별!AF39</f>
        <v>24</v>
      </c>
      <c r="G39" s="18">
        <f>[1]월별!AG39</f>
        <v>23.5</v>
      </c>
      <c r="H39" s="18">
        <f>[1]월별!AH39</f>
        <v>22.8</v>
      </c>
      <c r="I39" s="18">
        <f>[1]월별!AI39</f>
        <v>27.9</v>
      </c>
      <c r="J39" s="18">
        <f>[1]월별!AJ39</f>
        <v>28</v>
      </c>
      <c r="K39" s="18">
        <f>[1]월별!AK39</f>
        <v>27.5</v>
      </c>
      <c r="L39" s="18">
        <f>[1]월별!AL39</f>
        <v>22</v>
      </c>
      <c r="M39" s="18">
        <f>[1]월별!AM39</f>
        <v>25.3</v>
      </c>
      <c r="N39" s="18">
        <f>[1]월별!AN39</f>
        <v>28.1</v>
      </c>
      <c r="O39" s="18">
        <f>[1]월별!AO39</f>
        <v>28.7</v>
      </c>
      <c r="P39" s="18">
        <f>[1]월별!AP39</f>
        <v>29</v>
      </c>
      <c r="Q39" s="29">
        <f>+AVERAGE(E39:P39)</f>
        <v>26.308333333333334</v>
      </c>
      <c r="R39" s="31"/>
    </row>
    <row r="40" spans="2:19" ht="46.5" customHeight="1" x14ac:dyDescent="0.25">
      <c r="B40" s="86"/>
      <c r="C40" s="81"/>
      <c r="D40" s="16" t="s">
        <v>32</v>
      </c>
      <c r="E40" s="24">
        <f>[1]월별!AQ39</f>
        <v>28.57</v>
      </c>
      <c r="F40" s="25">
        <f>[1]월별!AR39</f>
        <v>26.9</v>
      </c>
      <c r="G40" s="25">
        <f>[1]월별!AS39</f>
        <v>29.97</v>
      </c>
      <c r="H40" s="25">
        <f>[1]월별!AT39</f>
        <v>27.87</v>
      </c>
      <c r="I40" s="25">
        <f>[1]월별!AU39</f>
        <v>28.71</v>
      </c>
      <c r="J40" s="25">
        <f>[1]월별!AV39</f>
        <v>25.93</v>
      </c>
      <c r="K40" s="25">
        <f>[1]월별!AW39</f>
        <v>24.64</v>
      </c>
      <c r="L40" s="25">
        <f>[1]월별!AX39</f>
        <v>26.04</v>
      </c>
      <c r="M40" s="25">
        <f>[1]월별!AY39</f>
        <v>25.32</v>
      </c>
      <c r="N40" s="25">
        <f>[1]월별!AZ39</f>
        <v>25.36</v>
      </c>
      <c r="O40" s="25">
        <f>[1]월별!BA39</f>
        <v>28.46</v>
      </c>
      <c r="P40" s="25">
        <f>[1]월별!BB39</f>
        <v>23.71</v>
      </c>
      <c r="Q40" s="25">
        <f>+AVERAGE(E40:P40)</f>
        <v>26.789999999999996</v>
      </c>
      <c r="R40" s="66"/>
    </row>
    <row r="41" spans="2:19" ht="46.5" customHeight="1" x14ac:dyDescent="0.25">
      <c r="B41" s="86"/>
      <c r="C41" s="81"/>
      <c r="D41" s="16" t="s">
        <v>33</v>
      </c>
      <c r="E41" s="24">
        <f>[1]월별!BC39</f>
        <v>27.75</v>
      </c>
      <c r="F41" s="25">
        <f>[1]월별!BD39</f>
        <v>24.36</v>
      </c>
      <c r="G41" s="25">
        <f>[1]월별!BE39</f>
        <v>26.9</v>
      </c>
      <c r="H41" s="25">
        <f>[1]월별!BF39</f>
        <v>27.1</v>
      </c>
      <c r="I41" s="25">
        <f>[1]월별!BG39</f>
        <v>26.9</v>
      </c>
      <c r="J41" s="25">
        <f>[1]월별!BH39</f>
        <v>26.9</v>
      </c>
      <c r="K41" s="25">
        <f>[1]월별!BI39</f>
        <v>25.2</v>
      </c>
      <c r="L41" s="25">
        <f>[1]월별!BJ39</f>
        <v>26.2</v>
      </c>
      <c r="M41" s="25">
        <f>[1]월별!BK39</f>
        <v>24</v>
      </c>
      <c r="N41" s="25">
        <f>[1]월별!BL39</f>
        <v>27.5</v>
      </c>
      <c r="O41" s="25">
        <f>[1]월별!BM39</f>
        <v>26</v>
      </c>
      <c r="P41" s="25">
        <f>[1]월별!BN39</f>
        <v>25.8</v>
      </c>
      <c r="Q41" s="25">
        <f>+AVERAGE(E41:P41)</f>
        <v>26.217499999999998</v>
      </c>
      <c r="R41" s="64"/>
    </row>
    <row r="42" spans="2:19" ht="46.5" customHeight="1" x14ac:dyDescent="0.25">
      <c r="B42" s="86"/>
      <c r="C42" s="81"/>
      <c r="D42" s="16" t="s">
        <v>34</v>
      </c>
      <c r="E42" s="24">
        <f>[1]월별!BO39</f>
        <v>25</v>
      </c>
      <c r="F42" s="25">
        <f>[1]월별!BP39</f>
        <v>25.7</v>
      </c>
      <c r="G42" s="25">
        <f>[1]월별!BQ39</f>
        <v>28.2</v>
      </c>
      <c r="H42" s="25">
        <f>[1]월별!BR39</f>
        <v>28</v>
      </c>
      <c r="I42" s="25">
        <f>[1]월별!BS39</f>
        <v>29</v>
      </c>
      <c r="J42" s="25">
        <f>[1]월별!BT39</f>
        <v>26.9</v>
      </c>
      <c r="K42" s="25">
        <f>[1]월별!BU39</f>
        <v>23</v>
      </c>
      <c r="L42" s="25">
        <f>[1]월별!BV39</f>
        <v>20.9</v>
      </c>
      <c r="M42" s="25">
        <f>[1]월별!BW39</f>
        <v>26</v>
      </c>
      <c r="N42" s="25">
        <f>[1]월별!BX39</f>
        <v>22</v>
      </c>
      <c r="O42" s="25">
        <f>[1]월별!BY39</f>
        <v>24.8</v>
      </c>
      <c r="P42" s="25">
        <f>[1]월별!BZ39</f>
        <v>22.69</v>
      </c>
      <c r="Q42" s="25">
        <f>+AVERAGE(E42:P42)</f>
        <v>25.182500000000001</v>
      </c>
      <c r="R42" s="64"/>
    </row>
    <row r="43" spans="2:19" ht="46.5" customHeight="1" x14ac:dyDescent="0.25">
      <c r="B43" s="87"/>
      <c r="C43" s="82"/>
      <c r="D43" s="16" t="s">
        <v>35</v>
      </c>
      <c r="E43" s="24">
        <f>[1]월별!CA39</f>
        <v>24</v>
      </c>
      <c r="F43" s="25">
        <f>[1]월별!CB39</f>
        <v>21</v>
      </c>
      <c r="G43" s="25">
        <v>26</v>
      </c>
      <c r="H43" s="25">
        <v>26.3</v>
      </c>
      <c r="I43" s="25"/>
      <c r="J43" s="25"/>
      <c r="K43" s="25"/>
      <c r="L43" s="25"/>
      <c r="M43" s="25"/>
      <c r="N43" s="25"/>
      <c r="O43" s="25"/>
      <c r="P43" s="25"/>
      <c r="Q43" s="25">
        <f>+AVERAGE(E43:P43)</f>
        <v>24.324999999999999</v>
      </c>
      <c r="R43" s="65"/>
    </row>
    <row r="44" spans="2:19" ht="24" hidden="1" customHeight="1" x14ac:dyDescent="0.25">
      <c r="B44" s="77" t="s">
        <v>46</v>
      </c>
      <c r="C44" s="33" t="s">
        <v>47</v>
      </c>
      <c r="D44" s="16" t="s">
        <v>16</v>
      </c>
      <c r="E44" s="34">
        <v>4412</v>
      </c>
      <c r="F44" s="35">
        <v>4328</v>
      </c>
      <c r="G44" s="35">
        <v>5208.7560000000003</v>
      </c>
      <c r="H44" s="35">
        <v>4882</v>
      </c>
      <c r="I44" s="35">
        <v>5533.7</v>
      </c>
      <c r="J44" s="35">
        <v>5318.2719999999999</v>
      </c>
      <c r="K44" s="35">
        <v>4506.3</v>
      </c>
      <c r="L44" s="35">
        <v>4293</v>
      </c>
      <c r="M44" s="29" t="e">
        <f>[1]월별!#REF!</f>
        <v>#REF!</v>
      </c>
      <c r="N44" s="35">
        <v>5842</v>
      </c>
      <c r="O44" s="35">
        <v>5705</v>
      </c>
      <c r="P44" s="35">
        <v>5581</v>
      </c>
      <c r="Q44" s="36" t="e">
        <f t="shared" ref="Q44:Q83" si="1">+AVERAGE(E44:P44)</f>
        <v>#REF!</v>
      </c>
      <c r="R44" s="31"/>
    </row>
    <row r="45" spans="2:19" ht="24" hidden="1" customHeight="1" x14ac:dyDescent="0.55000000000000004">
      <c r="B45" s="78"/>
      <c r="C45" s="37"/>
      <c r="D45" s="16" t="s">
        <v>48</v>
      </c>
      <c r="E45" s="34">
        <v>5382</v>
      </c>
      <c r="F45" s="35">
        <v>4701</v>
      </c>
      <c r="G45" s="35">
        <v>5582</v>
      </c>
      <c r="H45" s="35">
        <v>5947</v>
      </c>
      <c r="I45" s="35">
        <v>5329</v>
      </c>
      <c r="J45" s="35">
        <v>5187.1959999999999</v>
      </c>
      <c r="K45" s="35">
        <v>5357</v>
      </c>
      <c r="L45" s="35">
        <v>4431</v>
      </c>
      <c r="M45" s="35">
        <v>3771.5</v>
      </c>
      <c r="N45" s="35">
        <v>6101.7</v>
      </c>
      <c r="O45" s="35">
        <v>4888.3</v>
      </c>
      <c r="P45" s="35">
        <v>4313.8</v>
      </c>
      <c r="Q45" s="36">
        <f t="shared" si="1"/>
        <v>5082.6246666666666</v>
      </c>
      <c r="R45" s="31"/>
      <c r="S45" s="5"/>
    </row>
    <row r="46" spans="2:19" ht="24" hidden="1" customHeight="1" x14ac:dyDescent="0.55000000000000004">
      <c r="B46" s="78"/>
      <c r="C46" s="37"/>
      <c r="D46" s="16" t="s">
        <v>49</v>
      </c>
      <c r="E46" s="34">
        <v>2546</v>
      </c>
      <c r="F46" s="35">
        <v>3555.6</v>
      </c>
      <c r="G46" s="35">
        <v>4547</v>
      </c>
      <c r="H46" s="35">
        <v>4916.7</v>
      </c>
      <c r="I46" s="35">
        <v>4564.6000000000004</v>
      </c>
      <c r="J46" s="35">
        <v>5311</v>
      </c>
      <c r="K46" s="35">
        <v>5893</v>
      </c>
      <c r="L46" s="35">
        <v>4059.6</v>
      </c>
      <c r="M46" s="35">
        <v>6547.5</v>
      </c>
      <c r="N46" s="35">
        <v>6219.6</v>
      </c>
      <c r="O46" s="35">
        <v>6539</v>
      </c>
      <c r="P46" s="35" t="e">
        <f>+[1]월별!#REF!</f>
        <v>#REF!</v>
      </c>
      <c r="Q46" s="36" t="e">
        <f t="shared" si="1"/>
        <v>#REF!</v>
      </c>
      <c r="R46" s="31"/>
      <c r="S46" s="6"/>
    </row>
    <row r="47" spans="2:19" ht="24" hidden="1" customHeight="1" x14ac:dyDescent="0.55000000000000004">
      <c r="B47" s="78"/>
      <c r="C47" s="37"/>
      <c r="D47" s="16" t="s">
        <v>19</v>
      </c>
      <c r="E47" s="34" t="e">
        <f>+[1]월별!#REF!</f>
        <v>#REF!</v>
      </c>
      <c r="F47" s="35" t="e">
        <f>+[1]월별!#REF!</f>
        <v>#REF!</v>
      </c>
      <c r="G47" s="35" t="e">
        <f>+[1]월별!#REF!</f>
        <v>#REF!</v>
      </c>
      <c r="H47" s="35" t="e">
        <f>+[1]월별!#REF!</f>
        <v>#REF!</v>
      </c>
      <c r="I47" s="35" t="e">
        <f>+[1]월별!#REF!</f>
        <v>#REF!</v>
      </c>
      <c r="J47" s="35" t="e">
        <f>+[1]월별!#REF!</f>
        <v>#REF!</v>
      </c>
      <c r="K47" s="35" t="e">
        <f>+[1]월별!#REF!</f>
        <v>#REF!</v>
      </c>
      <c r="L47" s="35" t="e">
        <f>+[1]월별!#REF!</f>
        <v>#REF!</v>
      </c>
      <c r="M47" s="35" t="e">
        <f>+[1]월별!#REF!</f>
        <v>#REF!</v>
      </c>
      <c r="N47" s="35" t="e">
        <f>+[1]월별!#REF!</f>
        <v>#REF!</v>
      </c>
      <c r="O47" s="35" t="e">
        <f>+[1]월별!#REF!</f>
        <v>#REF!</v>
      </c>
      <c r="P47" s="35" t="e">
        <f>+[1]월별!#REF!</f>
        <v>#REF!</v>
      </c>
      <c r="Q47" s="36" t="e">
        <f t="shared" si="1"/>
        <v>#REF!</v>
      </c>
      <c r="R47" s="31"/>
      <c r="S47" s="6"/>
    </row>
    <row r="48" spans="2:19" ht="24" hidden="1" customHeight="1" x14ac:dyDescent="0.55000000000000004">
      <c r="B48" s="78"/>
      <c r="C48" s="37"/>
      <c r="D48" s="16" t="s">
        <v>20</v>
      </c>
      <c r="E48" s="34" t="e">
        <f>[1]월별!#REF!</f>
        <v>#REF!</v>
      </c>
      <c r="F48" s="35" t="e">
        <f>[1]월별!#REF!</f>
        <v>#REF!</v>
      </c>
      <c r="G48" s="35" t="e">
        <f>[1]월별!#REF!</f>
        <v>#REF!</v>
      </c>
      <c r="H48" s="35" t="e">
        <f>[1]월별!#REF!</f>
        <v>#REF!</v>
      </c>
      <c r="I48" s="35" t="e">
        <f>[1]월별!#REF!</f>
        <v>#REF!</v>
      </c>
      <c r="J48" s="35" t="e">
        <f>[1]월별!#REF!</f>
        <v>#REF!</v>
      </c>
      <c r="K48" s="35" t="e">
        <f>[1]월별!#REF!</f>
        <v>#REF!</v>
      </c>
      <c r="L48" s="35" t="e">
        <f>[1]월별!#REF!</f>
        <v>#REF!</v>
      </c>
      <c r="M48" s="35" t="e">
        <f>[1]월별!#REF!</f>
        <v>#REF!</v>
      </c>
      <c r="N48" s="35" t="e">
        <f>[1]월별!#REF!</f>
        <v>#REF!</v>
      </c>
      <c r="O48" s="35" t="e">
        <f>[1]월별!#REF!</f>
        <v>#REF!</v>
      </c>
      <c r="P48" s="35" t="e">
        <f>[1]월별!#REF!</f>
        <v>#REF!</v>
      </c>
      <c r="Q48" s="36" t="e">
        <f t="shared" si="1"/>
        <v>#REF!</v>
      </c>
      <c r="R48" s="31"/>
      <c r="S48" s="6"/>
    </row>
    <row r="49" spans="2:19" ht="24" hidden="1" customHeight="1" x14ac:dyDescent="0.55000000000000004">
      <c r="B49" s="78"/>
      <c r="C49" s="37"/>
      <c r="D49" s="16" t="s">
        <v>50</v>
      </c>
      <c r="E49" s="34" t="e">
        <f>[1]월별!#REF!</f>
        <v>#REF!</v>
      </c>
      <c r="F49" s="35" t="e">
        <f>[1]월별!#REF!</f>
        <v>#REF!</v>
      </c>
      <c r="G49" s="35" t="e">
        <f>[1]월별!#REF!</f>
        <v>#REF!</v>
      </c>
      <c r="H49" s="35" t="e">
        <f>[1]월별!#REF!</f>
        <v>#REF!</v>
      </c>
      <c r="I49" s="35" t="e">
        <f>[1]월별!#REF!</f>
        <v>#REF!</v>
      </c>
      <c r="J49" s="35" t="e">
        <f>[1]월별!#REF!</f>
        <v>#REF!</v>
      </c>
      <c r="K49" s="35" t="e">
        <f>[1]월별!#REF!</f>
        <v>#REF!</v>
      </c>
      <c r="L49" s="35" t="e">
        <f>[1]월별!#REF!</f>
        <v>#REF!</v>
      </c>
      <c r="M49" s="35" t="e">
        <f>[1]월별!#REF!</f>
        <v>#REF!</v>
      </c>
      <c r="N49" s="35" t="e">
        <f>[1]월별!#REF!</f>
        <v>#REF!</v>
      </c>
      <c r="O49" s="35" t="e">
        <f>[1]월별!#REF!</f>
        <v>#REF!</v>
      </c>
      <c r="P49" s="35" t="e">
        <f>[1]월별!#REF!</f>
        <v>#REF!</v>
      </c>
      <c r="Q49" s="35" t="e">
        <f t="shared" si="1"/>
        <v>#REF!</v>
      </c>
      <c r="R49" s="31"/>
      <c r="S49" s="6"/>
    </row>
    <row r="50" spans="2:19" ht="24" hidden="1" customHeight="1" x14ac:dyDescent="0.55000000000000004">
      <c r="B50" s="78"/>
      <c r="C50" s="37"/>
      <c r="D50" s="16" t="s">
        <v>51</v>
      </c>
      <c r="E50" s="34" t="e">
        <f>[1]월별!#REF!</f>
        <v>#REF!</v>
      </c>
      <c r="F50" s="35" t="e">
        <f>[1]월별!#REF!</f>
        <v>#REF!</v>
      </c>
      <c r="G50" s="35" t="e">
        <f>[1]월별!#REF!</f>
        <v>#REF!</v>
      </c>
      <c r="H50" s="35" t="e">
        <f>[1]월별!#REF!</f>
        <v>#REF!</v>
      </c>
      <c r="I50" s="35" t="e">
        <f>[1]월별!#REF!</f>
        <v>#REF!</v>
      </c>
      <c r="J50" s="35" t="e">
        <f>[1]월별!#REF!</f>
        <v>#REF!</v>
      </c>
      <c r="K50" s="35" t="e">
        <f>[1]월별!#REF!</f>
        <v>#REF!</v>
      </c>
      <c r="L50" s="35" t="e">
        <f>[1]월별!#REF!</f>
        <v>#REF!</v>
      </c>
      <c r="M50" s="35" t="e">
        <f>[1]월별!#REF!</f>
        <v>#REF!</v>
      </c>
      <c r="N50" s="35" t="e">
        <f>[1]월별!#REF!</f>
        <v>#REF!</v>
      </c>
      <c r="O50" s="35" t="e">
        <f>[1]월별!#REF!</f>
        <v>#REF!</v>
      </c>
      <c r="P50" s="35" t="e">
        <f>[1]월별!#REF!</f>
        <v>#REF!</v>
      </c>
      <c r="Q50" s="35" t="e">
        <f t="shared" si="1"/>
        <v>#REF!</v>
      </c>
      <c r="R50" s="31"/>
      <c r="S50" s="6"/>
    </row>
    <row r="51" spans="2:19" ht="24" hidden="1" customHeight="1" x14ac:dyDescent="0.55000000000000004">
      <c r="B51" s="78"/>
      <c r="C51" s="37"/>
      <c r="D51" s="16" t="s">
        <v>52</v>
      </c>
      <c r="E51" s="34" t="e">
        <f>[1]월별!#REF!</f>
        <v>#REF!</v>
      </c>
      <c r="F51" s="35" t="e">
        <f>[1]월별!#REF!</f>
        <v>#REF!</v>
      </c>
      <c r="G51" s="35" t="e">
        <f>[1]월별!#REF!</f>
        <v>#REF!</v>
      </c>
      <c r="H51" s="35" t="e">
        <f>[1]월별!#REF!</f>
        <v>#REF!</v>
      </c>
      <c r="I51" s="35" t="e">
        <f>[1]월별!#REF!</f>
        <v>#REF!</v>
      </c>
      <c r="J51" s="35" t="e">
        <f>[1]월별!#REF!</f>
        <v>#REF!</v>
      </c>
      <c r="K51" s="35" t="e">
        <f>[1]월별!#REF!</f>
        <v>#REF!</v>
      </c>
      <c r="L51" s="35" t="e">
        <f>[1]월별!#REF!</f>
        <v>#REF!</v>
      </c>
      <c r="M51" s="35" t="e">
        <f>[1]월별!#REF!</f>
        <v>#REF!</v>
      </c>
      <c r="N51" s="35" t="e">
        <f>[1]월별!#REF!</f>
        <v>#REF!</v>
      </c>
      <c r="O51" s="35" t="e">
        <f>[1]월별!#REF!</f>
        <v>#REF!</v>
      </c>
      <c r="P51" s="35" t="e">
        <f>[1]월별!#REF!</f>
        <v>#REF!</v>
      </c>
      <c r="Q51" s="35" t="e">
        <f t="shared" si="1"/>
        <v>#REF!</v>
      </c>
      <c r="R51" s="31"/>
      <c r="S51" s="6"/>
    </row>
    <row r="52" spans="2:19" ht="24" hidden="1" customHeight="1" x14ac:dyDescent="0.55000000000000004">
      <c r="B52" s="78"/>
      <c r="C52" s="37"/>
      <c r="D52" s="16" t="s">
        <v>53</v>
      </c>
      <c r="E52" s="34" t="e">
        <f>[1]월별!#REF!</f>
        <v>#REF!</v>
      </c>
      <c r="F52" s="35" t="e">
        <f>[1]월별!#REF!</f>
        <v>#REF!</v>
      </c>
      <c r="G52" s="35" t="e">
        <f>[1]월별!#REF!</f>
        <v>#REF!</v>
      </c>
      <c r="H52" s="35" t="e">
        <f>[1]월별!#REF!</f>
        <v>#REF!</v>
      </c>
      <c r="I52" s="35" t="e">
        <f>[1]월별!#REF!</f>
        <v>#REF!</v>
      </c>
      <c r="J52" s="35" t="e">
        <f>[1]월별!#REF!</f>
        <v>#REF!</v>
      </c>
      <c r="K52" s="35" t="e">
        <f>[1]월별!#REF!</f>
        <v>#REF!</v>
      </c>
      <c r="L52" s="35" t="e">
        <f>[1]월별!#REF!</f>
        <v>#REF!</v>
      </c>
      <c r="M52" s="35" t="e">
        <f>[1]월별!#REF!</f>
        <v>#REF!</v>
      </c>
      <c r="N52" s="35" t="e">
        <f>[1]월별!#REF!</f>
        <v>#REF!</v>
      </c>
      <c r="O52" s="35" t="e">
        <f>[1]월별!#REF!</f>
        <v>#REF!</v>
      </c>
      <c r="P52" s="35" t="e">
        <f>[1]월별!#REF!</f>
        <v>#REF!</v>
      </c>
      <c r="Q52" s="35" t="e">
        <f>+AVERAGE(E52:P52)</f>
        <v>#REF!</v>
      </c>
      <c r="R52" s="31"/>
      <c r="S52" s="6"/>
    </row>
    <row r="53" spans="2:19" ht="24" hidden="1" customHeight="1" x14ac:dyDescent="0.55000000000000004">
      <c r="B53" s="78"/>
      <c r="C53" s="37"/>
      <c r="D53" s="16" t="s">
        <v>25</v>
      </c>
      <c r="E53" s="34" t="e">
        <f>[1]월별!#REF!</f>
        <v>#REF!</v>
      </c>
      <c r="F53" s="35" t="e">
        <f>[1]월별!#REF!</f>
        <v>#REF!</v>
      </c>
      <c r="G53" s="35" t="e">
        <f>[1]월별!#REF!</f>
        <v>#REF!</v>
      </c>
      <c r="H53" s="35" t="e">
        <f>[1]월별!#REF!</f>
        <v>#REF!</v>
      </c>
      <c r="I53" s="35" t="e">
        <f>[1]월별!#REF!</f>
        <v>#REF!</v>
      </c>
      <c r="J53" s="35" t="e">
        <f>[1]월별!#REF!</f>
        <v>#REF!</v>
      </c>
      <c r="K53" s="35" t="e">
        <f>[1]월별!#REF!</f>
        <v>#REF!</v>
      </c>
      <c r="L53" s="35" t="e">
        <f>[1]월별!#REF!</f>
        <v>#REF!</v>
      </c>
      <c r="M53" s="35" t="e">
        <f>[1]월별!#REF!</f>
        <v>#REF!</v>
      </c>
      <c r="N53" s="35" t="e">
        <f>[1]월별!#REF!</f>
        <v>#REF!</v>
      </c>
      <c r="O53" s="35" t="e">
        <f>[1]월별!#REF!</f>
        <v>#REF!</v>
      </c>
      <c r="P53" s="35" t="e">
        <f>[1]월별!#REF!</f>
        <v>#REF!</v>
      </c>
      <c r="Q53" s="35" t="e">
        <f t="shared" si="1"/>
        <v>#REF!</v>
      </c>
      <c r="R53" s="31"/>
      <c r="S53" s="6"/>
    </row>
    <row r="54" spans="2:19" ht="24" hidden="1" customHeight="1" x14ac:dyDescent="0.55000000000000004">
      <c r="B54" s="78"/>
      <c r="C54" s="37"/>
      <c r="D54" s="16" t="s">
        <v>26</v>
      </c>
      <c r="E54" s="34" t="e">
        <f>[1]월별!#REF!</f>
        <v>#REF!</v>
      </c>
      <c r="F54" s="35" t="e">
        <f>[1]월별!#REF!</f>
        <v>#REF!</v>
      </c>
      <c r="G54" s="35" t="e">
        <f>[1]월별!#REF!</f>
        <v>#REF!</v>
      </c>
      <c r="H54" s="35" t="e">
        <f>[1]월별!#REF!</f>
        <v>#REF!</v>
      </c>
      <c r="I54" s="35" t="e">
        <f>[1]월별!#REF!</f>
        <v>#REF!</v>
      </c>
      <c r="J54" s="35" t="e">
        <f>[1]월별!#REF!</f>
        <v>#REF!</v>
      </c>
      <c r="K54" s="35" t="e">
        <f>[1]월별!#REF!</f>
        <v>#REF!</v>
      </c>
      <c r="L54" s="35" t="e">
        <f>[1]월별!#REF!</f>
        <v>#REF!</v>
      </c>
      <c r="M54" s="35" t="e">
        <f>[1]월별!#REF!</f>
        <v>#REF!</v>
      </c>
      <c r="N54" s="35" t="e">
        <f>[1]월별!#REF!</f>
        <v>#REF!</v>
      </c>
      <c r="O54" s="35" t="e">
        <f>[1]월별!#REF!</f>
        <v>#REF!</v>
      </c>
      <c r="P54" s="35" t="e">
        <f>[1]월별!#REF!</f>
        <v>#REF!</v>
      </c>
      <c r="Q54" s="35" t="e">
        <f t="shared" si="1"/>
        <v>#REF!</v>
      </c>
      <c r="R54" s="31"/>
      <c r="S54" s="6"/>
    </row>
    <row r="55" spans="2:19" ht="24" hidden="1" customHeight="1" x14ac:dyDescent="0.55000000000000004">
      <c r="B55" s="78"/>
      <c r="C55" s="37"/>
      <c r="D55" s="16" t="s">
        <v>27</v>
      </c>
      <c r="E55" s="34" t="e">
        <f>[1]월별!#REF!</f>
        <v>#REF!</v>
      </c>
      <c r="F55" s="35" t="e">
        <f>[1]월별!#REF!</f>
        <v>#REF!</v>
      </c>
      <c r="G55" s="35" t="e">
        <f>[1]월별!#REF!</f>
        <v>#REF!</v>
      </c>
      <c r="H55" s="35" t="e">
        <f>[1]월별!#REF!</f>
        <v>#REF!</v>
      </c>
      <c r="I55" s="35" t="e">
        <f>[1]월별!#REF!</f>
        <v>#REF!</v>
      </c>
      <c r="J55" s="35" t="e">
        <f>[1]월별!#REF!</f>
        <v>#REF!</v>
      </c>
      <c r="K55" s="35" t="e">
        <f>[1]월별!#REF!</f>
        <v>#REF!</v>
      </c>
      <c r="L55" s="35" t="e">
        <f>[1]월별!#REF!</f>
        <v>#REF!</v>
      </c>
      <c r="M55" s="35" t="e">
        <f>[1]월별!#REF!</f>
        <v>#REF!</v>
      </c>
      <c r="N55" s="35" t="e">
        <f>[1]월별!#REF!</f>
        <v>#REF!</v>
      </c>
      <c r="O55" s="35" t="e">
        <f>[1]월별!#REF!</f>
        <v>#REF!</v>
      </c>
      <c r="P55" s="35" t="e">
        <f>[1]월별!#REF!</f>
        <v>#REF!</v>
      </c>
      <c r="Q55" s="35" t="e">
        <f>+AVERAGE(E55:P55)</f>
        <v>#REF!</v>
      </c>
      <c r="R55" s="31"/>
      <c r="S55" s="6"/>
    </row>
    <row r="56" spans="2:19" ht="24" hidden="1" customHeight="1" x14ac:dyDescent="0.55000000000000004">
      <c r="B56" s="78"/>
      <c r="C56" s="37"/>
      <c r="D56" s="16" t="s">
        <v>54</v>
      </c>
      <c r="E56" s="34" t="e">
        <f>[1]월별!#REF!</f>
        <v>#REF!</v>
      </c>
      <c r="F56" s="35" t="e">
        <f>[1]월별!#REF!</f>
        <v>#REF!</v>
      </c>
      <c r="G56" s="35" t="e">
        <f>[1]월별!#REF!</f>
        <v>#REF!</v>
      </c>
      <c r="H56" s="35" t="e">
        <f>[1]월별!#REF!</f>
        <v>#REF!</v>
      </c>
      <c r="I56" s="35" t="e">
        <f>[1]월별!#REF!</f>
        <v>#REF!</v>
      </c>
      <c r="J56" s="35" t="e">
        <f>[1]월별!#REF!</f>
        <v>#REF!</v>
      </c>
      <c r="K56" s="35" t="e">
        <f>[1]월별!#REF!</f>
        <v>#REF!</v>
      </c>
      <c r="L56" s="35" t="e">
        <f>[1]월별!#REF!</f>
        <v>#REF!</v>
      </c>
      <c r="M56" s="35" t="e">
        <f>[1]월별!#REF!</f>
        <v>#REF!</v>
      </c>
      <c r="N56" s="35" t="e">
        <f>[1]월별!#REF!</f>
        <v>#REF!</v>
      </c>
      <c r="O56" s="35" t="e">
        <f>[1]월별!#REF!</f>
        <v>#REF!</v>
      </c>
      <c r="P56" s="35" t="e">
        <f>[1]월별!#REF!</f>
        <v>#REF!</v>
      </c>
      <c r="Q56" s="35" t="e">
        <f t="shared" si="1"/>
        <v>#REF!</v>
      </c>
      <c r="R56" s="31"/>
      <c r="S56" s="6"/>
    </row>
    <row r="57" spans="2:19" ht="24" hidden="1" customHeight="1" x14ac:dyDescent="0.55000000000000004">
      <c r="B57" s="78"/>
      <c r="C57" s="37"/>
      <c r="D57" s="16" t="s">
        <v>29</v>
      </c>
      <c r="E57" s="34">
        <f>[1]월별!G40</f>
        <v>8533.7999999999993</v>
      </c>
      <c r="F57" s="35">
        <f>[1]월별!H40</f>
        <v>6968.6</v>
      </c>
      <c r="G57" s="35">
        <f>[1]월별!I40</f>
        <v>9957.5</v>
      </c>
      <c r="H57" s="35">
        <f>[1]월별!J40</f>
        <v>8530.94</v>
      </c>
      <c r="I57" s="35">
        <f>[1]월별!K40</f>
        <v>6071.4</v>
      </c>
      <c r="J57" s="35">
        <f>[1]월별!L40</f>
        <v>7676.1</v>
      </c>
      <c r="K57" s="35">
        <f>[1]월별!M40</f>
        <v>9644.2000000000007</v>
      </c>
      <c r="L57" s="35">
        <f>[1]월별!N40</f>
        <v>8008.6</v>
      </c>
      <c r="M57" s="35">
        <f>[1]월별!O40</f>
        <v>9996</v>
      </c>
      <c r="N57" s="35">
        <f>[1]월별!P40</f>
        <v>11077</v>
      </c>
      <c r="O57" s="35">
        <f>[1]월별!Q40</f>
        <v>10655.4</v>
      </c>
      <c r="P57" s="35">
        <f>[1]월별!R40</f>
        <v>10236.299999999999</v>
      </c>
      <c r="Q57" s="35">
        <f t="shared" si="1"/>
        <v>8946.3200000000015</v>
      </c>
      <c r="R57" s="31"/>
      <c r="S57" s="6"/>
    </row>
    <row r="58" spans="2:19" ht="24" hidden="1" customHeight="1" x14ac:dyDescent="0.55000000000000004">
      <c r="B58" s="78"/>
      <c r="C58" s="37"/>
      <c r="D58" s="16" t="s">
        <v>30</v>
      </c>
      <c r="E58" s="34">
        <f>[1]월별!S40</f>
        <v>9072.2000000000007</v>
      </c>
      <c r="F58" s="35">
        <f>[1]월별!T40</f>
        <v>9146.6</v>
      </c>
      <c r="G58" s="35">
        <f>[1]월별!U40</f>
        <v>11117.8</v>
      </c>
      <c r="H58" s="35">
        <f>[1]월별!V40</f>
        <v>10987.6</v>
      </c>
      <c r="I58" s="35">
        <f>[1]월별!W40</f>
        <v>10141.299999999999</v>
      </c>
      <c r="J58" s="35">
        <f>[1]월별!X40</f>
        <v>9421.7000000000007</v>
      </c>
      <c r="K58" s="35">
        <f>[1]월별!Y40</f>
        <v>10671</v>
      </c>
      <c r="L58" s="35">
        <f>[1]월별!Z40</f>
        <v>8069</v>
      </c>
      <c r="M58" s="35">
        <f>[1]월별!AA40</f>
        <v>7858.7</v>
      </c>
      <c r="N58" s="35">
        <f>[1]월별!AB40</f>
        <v>8969.7000000000007</v>
      </c>
      <c r="O58" s="35">
        <f>[1]월별!AC40</f>
        <v>9871.6</v>
      </c>
      <c r="P58" s="35">
        <f>[1]월별!AD40</f>
        <v>9933.7000000000007</v>
      </c>
      <c r="Q58" s="35">
        <f t="shared" si="1"/>
        <v>9605.0749999999989</v>
      </c>
      <c r="R58" s="31"/>
      <c r="S58" s="6"/>
    </row>
    <row r="59" spans="2:19" ht="24" hidden="1" customHeight="1" x14ac:dyDescent="0.25">
      <c r="B59" s="78"/>
      <c r="C59" s="88" t="s">
        <v>55</v>
      </c>
      <c r="D59" s="16" t="s">
        <v>31</v>
      </c>
      <c r="E59" s="34">
        <f>[1]월별!AE40</f>
        <v>10767.7</v>
      </c>
      <c r="F59" s="35">
        <f>[1]월별!AF40</f>
        <v>8739.4</v>
      </c>
      <c r="G59" s="35">
        <f>[1]월별!AG40</f>
        <v>8613.1</v>
      </c>
      <c r="H59" s="35">
        <f>[1]월별!AH40</f>
        <v>8272.5</v>
      </c>
      <c r="I59" s="35">
        <f>[1]월별!AI40</f>
        <v>10182.299999999999</v>
      </c>
      <c r="J59" s="35">
        <f>[1]월별!AJ40</f>
        <v>10121.799999999999</v>
      </c>
      <c r="K59" s="35">
        <f>[1]월별!AK40</f>
        <v>9928.1</v>
      </c>
      <c r="L59" s="35">
        <f>[1]월별!AL40</f>
        <v>7939.8</v>
      </c>
      <c r="M59" s="35">
        <f>[1]월별!AM40</f>
        <v>9220.6</v>
      </c>
      <c r="N59" s="35">
        <f>[1]월별!AN40</f>
        <v>10291.799999999999</v>
      </c>
      <c r="O59" s="35">
        <f>[1]월별!AO40</f>
        <v>10363.5</v>
      </c>
      <c r="P59" s="35">
        <f>[1]월별!AP40</f>
        <v>10255.4</v>
      </c>
      <c r="Q59" s="35">
        <f t="shared" si="1"/>
        <v>9558.0000000000018</v>
      </c>
      <c r="R59" s="31"/>
      <c r="S59" s="6"/>
    </row>
    <row r="60" spans="2:19" ht="52.5" customHeight="1" x14ac:dyDescent="0.25">
      <c r="B60" s="78"/>
      <c r="C60" s="88"/>
      <c r="D60" s="16" t="s">
        <v>32</v>
      </c>
      <c r="E60" s="38">
        <f>[1]월별!AQ40/1000</f>
        <v>10507</v>
      </c>
      <c r="F60" s="39">
        <f>[1]월별!AR40/1000</f>
        <v>9773.7000000000007</v>
      </c>
      <c r="G60" s="39">
        <f>[1]월별!AS40/1000</f>
        <v>11106.6</v>
      </c>
      <c r="H60" s="39">
        <f>[1]월별!AT40/1000</f>
        <v>10372.5</v>
      </c>
      <c r="I60" s="54">
        <f>[1]월별!AU40/1000</f>
        <v>9928.2000000000007</v>
      </c>
      <c r="J60" s="53">
        <f>[1]월별!AV40/1000</f>
        <v>8986.7999999999993</v>
      </c>
      <c r="K60" s="40">
        <f>[1]월별!AW40/1000</f>
        <v>8371.7000000000007</v>
      </c>
      <c r="L60" s="40">
        <f>[1]월별!AX40/1000</f>
        <v>8801.1</v>
      </c>
      <c r="M60" s="40">
        <f>[1]월별!AY40/1000</f>
        <v>8478.1</v>
      </c>
      <c r="N60" s="40">
        <f>[1]월별!AZ40/1000</f>
        <v>8459.2000000000007</v>
      </c>
      <c r="O60" s="40">
        <f>[1]월별!BA40/1000</f>
        <v>9592.7199999999993</v>
      </c>
      <c r="P60" s="40">
        <f>[1]월별!BB40/1000</f>
        <v>7808.5</v>
      </c>
      <c r="Q60" s="40">
        <f>[1]월별!BC40/1000</f>
        <v>9384</v>
      </c>
      <c r="R60" s="67" t="s">
        <v>77</v>
      </c>
      <c r="S60" s="6"/>
    </row>
    <row r="61" spans="2:19" ht="52.5" customHeight="1" x14ac:dyDescent="0.25">
      <c r="B61" s="78"/>
      <c r="C61" s="88"/>
      <c r="D61" s="16" t="s">
        <v>33</v>
      </c>
      <c r="E61" s="41">
        <f>[1]월별!BC40/1000</f>
        <v>9384</v>
      </c>
      <c r="F61" s="40">
        <f>[1]월별!BD40/1000</f>
        <v>8223.7800000000007</v>
      </c>
      <c r="G61" s="40">
        <f>[1]월별!BE40/1000</f>
        <v>8847.1</v>
      </c>
      <c r="H61" s="40">
        <f>[1]월별!BF40/1000</f>
        <v>9196.6200000000008</v>
      </c>
      <c r="I61" s="40">
        <f>[1]월별!BG40/1000</f>
        <v>9015.06</v>
      </c>
      <c r="J61" s="40">
        <f>[1]월별!BH40/1000</f>
        <v>9062.7000000000007</v>
      </c>
      <c r="K61" s="40">
        <f>[1]월별!BI40/1000</f>
        <v>8372.65</v>
      </c>
      <c r="L61" s="40">
        <f>[1]월별!BJ40/1000</f>
        <v>8731.6</v>
      </c>
      <c r="M61" s="40">
        <f>[1]월별!BK40/1000</f>
        <v>8085</v>
      </c>
      <c r="N61" s="40">
        <f>[1]월별!BL40/1000</f>
        <v>8952.2999999999993</v>
      </c>
      <c r="O61" s="40">
        <f>[1]월별!BM40/1000</f>
        <v>8377.4</v>
      </c>
      <c r="P61" s="40">
        <f>[1]월별!BN40/1000</f>
        <v>8204.2000000000007</v>
      </c>
      <c r="Q61" s="40">
        <f>[1]월별!BO40/1000</f>
        <v>8076.7</v>
      </c>
      <c r="R61" s="64"/>
      <c r="S61" s="6"/>
    </row>
    <row r="62" spans="2:19" ht="52.5" customHeight="1" x14ac:dyDescent="0.25">
      <c r="B62" s="78"/>
      <c r="C62" s="88"/>
      <c r="D62" s="16" t="s">
        <v>34</v>
      </c>
      <c r="E62" s="41">
        <f>[1]월별!BO40/1000</f>
        <v>8076.7</v>
      </c>
      <c r="F62" s="40">
        <f>[1]월별!BP40/1000</f>
        <v>8300.56</v>
      </c>
      <c r="G62" s="40">
        <f>[1]월별!BQ40/1000</f>
        <v>9173</v>
      </c>
      <c r="H62" s="40">
        <f>[1]월별!BR40/1000</f>
        <v>8962.7000000000007</v>
      </c>
      <c r="I62" s="40">
        <f>[1]월별!BS40/1000</f>
        <v>9322</v>
      </c>
      <c r="J62" s="40">
        <f>[1]월별!BT40/1000</f>
        <v>8537.1</v>
      </c>
      <c r="K62" s="40">
        <f>[1]월별!BU40/1000</f>
        <v>7089.24</v>
      </c>
      <c r="L62" s="40">
        <f>[1]월별!BV40/1000</f>
        <v>6502.7</v>
      </c>
      <c r="M62" s="42">
        <f>[1]월별!BW40/1000</f>
        <v>7511.9</v>
      </c>
      <c r="N62" s="40">
        <f>[1]월별!BX40/1000</f>
        <v>6417.652</v>
      </c>
      <c r="O62" s="40">
        <f>[1]월별!BY40/1000</f>
        <v>7298.2060000000001</v>
      </c>
      <c r="P62" s="40">
        <f>[1]월별!BZ40/1000</f>
        <v>6704.2359999999999</v>
      </c>
      <c r="Q62" s="40">
        <f>[1]월별!CA40/1000</f>
        <v>7139.4809999999998</v>
      </c>
      <c r="R62" s="64"/>
      <c r="S62" s="6"/>
    </row>
    <row r="63" spans="2:19" ht="52.5" customHeight="1" x14ac:dyDescent="0.25">
      <c r="B63" s="79"/>
      <c r="C63" s="89"/>
      <c r="D63" s="16" t="s">
        <v>35</v>
      </c>
      <c r="E63" s="41">
        <f>[1]월별!CA40/1000</f>
        <v>7139.4809999999998</v>
      </c>
      <c r="F63" s="40">
        <f>[1]월별!CB40/1000</f>
        <v>6176.1139999999996</v>
      </c>
      <c r="G63" s="40">
        <f>7595718/1000</f>
        <v>7595.7179999999998</v>
      </c>
      <c r="H63" s="40">
        <v>7312.576</v>
      </c>
      <c r="I63" s="40"/>
      <c r="J63" s="40"/>
      <c r="K63" s="40"/>
      <c r="L63" s="40"/>
      <c r="M63" s="40"/>
      <c r="N63" s="40"/>
      <c r="O63" s="40"/>
      <c r="P63" s="40"/>
      <c r="Q63" s="40">
        <f t="shared" si="1"/>
        <v>7055.9722499999998</v>
      </c>
      <c r="R63" s="65"/>
      <c r="S63" s="6"/>
    </row>
    <row r="64" spans="2:19" ht="24" hidden="1" customHeight="1" x14ac:dyDescent="0.25">
      <c r="B64" s="77" t="s">
        <v>80</v>
      </c>
      <c r="C64" s="80" t="s">
        <v>83</v>
      </c>
      <c r="D64" s="16" t="s">
        <v>16</v>
      </c>
      <c r="E64" s="43">
        <v>3.1797098190477047</v>
      </c>
      <c r="F64" s="44">
        <v>3.2650450075289164</v>
      </c>
      <c r="G64" s="44">
        <v>3.430568727870511</v>
      </c>
      <c r="H64" s="44">
        <v>3.4616748209600736</v>
      </c>
      <c r="I64" s="44">
        <v>3.6013750266831215</v>
      </c>
      <c r="J64" s="44">
        <v>3.6419835263116136</v>
      </c>
      <c r="K64" s="44">
        <v>3.5608625152903022</v>
      </c>
      <c r="L64" s="44">
        <v>3.6352274112912975</v>
      </c>
      <c r="M64" s="44">
        <v>3.5612797584597038</v>
      </c>
      <c r="N64" s="44">
        <v>3.582765438640382</v>
      </c>
      <c r="O64" s="44">
        <v>3.4239833680233067</v>
      </c>
      <c r="P64" s="44">
        <v>3.3174504670941714</v>
      </c>
      <c r="Q64" s="35">
        <f t="shared" si="1"/>
        <v>3.4718271572667585</v>
      </c>
      <c r="R64" s="31"/>
      <c r="S64" s="5"/>
    </row>
    <row r="65" spans="2:19" ht="24" hidden="1" customHeight="1" x14ac:dyDescent="0.25">
      <c r="B65" s="78"/>
      <c r="C65" s="81"/>
      <c r="D65" s="16" t="s">
        <v>56</v>
      </c>
      <c r="E65" s="43">
        <v>3.3228867995821361</v>
      </c>
      <c r="F65" s="44">
        <v>3.2768716018402344</v>
      </c>
      <c r="G65" s="44">
        <v>3.2948481843509452</v>
      </c>
      <c r="H65" s="44">
        <v>3.3957786594125938</v>
      </c>
      <c r="I65" s="44">
        <v>3.4324485873435462</v>
      </c>
      <c r="J65" s="44">
        <v>3.4543723095938286</v>
      </c>
      <c r="K65" s="44">
        <v>3.4409091142661881</v>
      </c>
      <c r="L65" s="44">
        <v>3.3696534983254378</v>
      </c>
      <c r="M65" s="44">
        <v>3.2816654833006167</v>
      </c>
      <c r="N65" s="44">
        <v>3.4811794829663718</v>
      </c>
      <c r="O65" s="44">
        <v>3.1776956100047062</v>
      </c>
      <c r="P65" s="44">
        <v>2.963613330145618</v>
      </c>
      <c r="Q65" s="35">
        <f t="shared" si="1"/>
        <v>3.3243268884276858</v>
      </c>
      <c r="R65" s="31"/>
      <c r="S65" s="5"/>
    </row>
    <row r="66" spans="2:19" ht="24" hidden="1" customHeight="1" x14ac:dyDescent="0.25">
      <c r="B66" s="78"/>
      <c r="C66" s="81"/>
      <c r="D66" s="16" t="s">
        <v>57</v>
      </c>
      <c r="E66" s="43">
        <v>2.4358415038307588</v>
      </c>
      <c r="F66" s="44">
        <v>3.0065041145373557</v>
      </c>
      <c r="G66" s="44">
        <v>3.2553817251876498</v>
      </c>
      <c r="H66" s="44">
        <v>3.3844228577092728</v>
      </c>
      <c r="I66" s="44">
        <v>3.4182849714082009</v>
      </c>
      <c r="J66" s="44">
        <v>3.6210244410627364</v>
      </c>
      <c r="K66" s="44">
        <v>3.5602776206978182</v>
      </c>
      <c r="L66" s="44">
        <v>3.4671832082974645</v>
      </c>
      <c r="M66" s="44">
        <v>3.5654773573809049</v>
      </c>
      <c r="N66" s="44">
        <v>3.5276501616470974</v>
      </c>
      <c r="O66" s="44">
        <v>3.3439291755902887</v>
      </c>
      <c r="P66" s="44" t="e">
        <f>+[1]월별!#REF!</f>
        <v>#REF!</v>
      </c>
      <c r="Q66" s="35" t="e">
        <f t="shared" si="1"/>
        <v>#REF!</v>
      </c>
      <c r="R66" s="31"/>
      <c r="S66" s="5"/>
    </row>
    <row r="67" spans="2:19" ht="24" hidden="1" customHeight="1" x14ac:dyDescent="0.25">
      <c r="B67" s="78"/>
      <c r="C67" s="81"/>
      <c r="D67" s="16" t="s">
        <v>19</v>
      </c>
      <c r="E67" s="43" t="e">
        <f>+[1]월별!#REF!</f>
        <v>#REF!</v>
      </c>
      <c r="F67" s="44" t="e">
        <f>+[1]월별!#REF!</f>
        <v>#REF!</v>
      </c>
      <c r="G67" s="44" t="e">
        <f>+[1]월별!#REF!</f>
        <v>#REF!</v>
      </c>
      <c r="H67" s="44" t="e">
        <f>+[1]월별!#REF!</f>
        <v>#REF!</v>
      </c>
      <c r="I67" s="44" t="e">
        <f>+[1]월별!#REF!</f>
        <v>#REF!</v>
      </c>
      <c r="J67" s="44" t="e">
        <f>+[1]월별!#REF!</f>
        <v>#REF!</v>
      </c>
      <c r="K67" s="44" t="e">
        <f>+[1]월별!#REF!</f>
        <v>#REF!</v>
      </c>
      <c r="L67" s="44" t="e">
        <f>+[1]월별!#REF!</f>
        <v>#REF!</v>
      </c>
      <c r="M67" s="44" t="e">
        <f>+[1]월별!#REF!</f>
        <v>#REF!</v>
      </c>
      <c r="N67" s="44" t="e">
        <f>+[1]월별!#REF!</f>
        <v>#REF!</v>
      </c>
      <c r="O67" s="44" t="e">
        <f>+[1]월별!#REF!</f>
        <v>#REF!</v>
      </c>
      <c r="P67" s="44" t="e">
        <f>+[1]월별!#REF!</f>
        <v>#REF!</v>
      </c>
      <c r="Q67" s="35" t="e">
        <f t="shared" si="1"/>
        <v>#REF!</v>
      </c>
      <c r="R67" s="31"/>
      <c r="S67" s="5"/>
    </row>
    <row r="68" spans="2:19" ht="24" hidden="1" customHeight="1" x14ac:dyDescent="0.25">
      <c r="B68" s="78"/>
      <c r="C68" s="81"/>
      <c r="D68" s="16" t="s">
        <v>20</v>
      </c>
      <c r="E68" s="43" t="e">
        <f>[1]월별!#REF!</f>
        <v>#REF!</v>
      </c>
      <c r="F68" s="44" t="e">
        <f>[1]월별!#REF!</f>
        <v>#REF!</v>
      </c>
      <c r="G68" s="44" t="e">
        <f>[1]월별!#REF!</f>
        <v>#REF!</v>
      </c>
      <c r="H68" s="44" t="e">
        <f>[1]월별!#REF!</f>
        <v>#REF!</v>
      </c>
      <c r="I68" s="44" t="e">
        <f>[1]월별!#REF!</f>
        <v>#REF!</v>
      </c>
      <c r="J68" s="44" t="e">
        <f>[1]월별!#REF!</f>
        <v>#REF!</v>
      </c>
      <c r="K68" s="44" t="e">
        <f>[1]월별!#REF!</f>
        <v>#REF!</v>
      </c>
      <c r="L68" s="44" t="e">
        <f>[1]월별!#REF!</f>
        <v>#REF!</v>
      </c>
      <c r="M68" s="44" t="e">
        <f>[1]월별!#REF!</f>
        <v>#REF!</v>
      </c>
      <c r="N68" s="44" t="e">
        <f>[1]월별!#REF!</f>
        <v>#REF!</v>
      </c>
      <c r="O68" s="44" t="e">
        <f>[1]월별!#REF!</f>
        <v>#REF!</v>
      </c>
      <c r="P68" s="44" t="e">
        <f>[1]월별!#REF!</f>
        <v>#REF!</v>
      </c>
      <c r="Q68" s="35" t="e">
        <f t="shared" si="1"/>
        <v>#REF!</v>
      </c>
      <c r="R68" s="31"/>
      <c r="S68" s="5"/>
    </row>
    <row r="69" spans="2:19" ht="24" hidden="1" customHeight="1" x14ac:dyDescent="0.25">
      <c r="B69" s="78"/>
      <c r="C69" s="81"/>
      <c r="D69" s="16" t="s">
        <v>50</v>
      </c>
      <c r="E69" s="43" t="e">
        <f>[1]월별!#REF!</f>
        <v>#REF!</v>
      </c>
      <c r="F69" s="44" t="e">
        <f>[1]월별!#REF!</f>
        <v>#REF!</v>
      </c>
      <c r="G69" s="44" t="e">
        <f>[1]월별!#REF!</f>
        <v>#REF!</v>
      </c>
      <c r="H69" s="44" t="e">
        <f>[1]월별!#REF!</f>
        <v>#REF!</v>
      </c>
      <c r="I69" s="44" t="e">
        <f>[1]월별!#REF!</f>
        <v>#REF!</v>
      </c>
      <c r="J69" s="44" t="e">
        <f>[1]월별!#REF!</f>
        <v>#REF!</v>
      </c>
      <c r="K69" s="44" t="e">
        <f>[1]월별!#REF!</f>
        <v>#REF!</v>
      </c>
      <c r="L69" s="44" t="e">
        <f>[1]월별!#REF!</f>
        <v>#REF!</v>
      </c>
      <c r="M69" s="44" t="e">
        <f>[1]월별!#REF!</f>
        <v>#REF!</v>
      </c>
      <c r="N69" s="44" t="e">
        <f>[1]월별!#REF!</f>
        <v>#REF!</v>
      </c>
      <c r="O69" s="44" t="e">
        <f>[1]월별!#REF!</f>
        <v>#REF!</v>
      </c>
      <c r="P69" s="44" t="e">
        <f>[1]월별!#REF!</f>
        <v>#REF!</v>
      </c>
      <c r="Q69" s="35" t="e">
        <f t="shared" si="1"/>
        <v>#REF!</v>
      </c>
      <c r="R69" s="31"/>
      <c r="S69" s="5"/>
    </row>
    <row r="70" spans="2:19" ht="24" hidden="1" customHeight="1" x14ac:dyDescent="0.25">
      <c r="B70" s="78"/>
      <c r="C70" s="81"/>
      <c r="D70" s="16" t="s">
        <v>51</v>
      </c>
      <c r="E70" s="43" t="e">
        <f>[1]월별!#REF!</f>
        <v>#REF!</v>
      </c>
      <c r="F70" s="44" t="e">
        <f>[1]월별!#REF!</f>
        <v>#REF!</v>
      </c>
      <c r="G70" s="44" t="e">
        <f>[1]월별!#REF!</f>
        <v>#REF!</v>
      </c>
      <c r="H70" s="44" t="e">
        <f>[1]월별!#REF!</f>
        <v>#REF!</v>
      </c>
      <c r="I70" s="44" t="e">
        <f>[1]월별!#REF!</f>
        <v>#REF!</v>
      </c>
      <c r="J70" s="44" t="e">
        <f>[1]월별!#REF!</f>
        <v>#REF!</v>
      </c>
      <c r="K70" s="44" t="e">
        <f>[1]월별!#REF!</f>
        <v>#REF!</v>
      </c>
      <c r="L70" s="44" t="e">
        <f>[1]월별!#REF!</f>
        <v>#REF!</v>
      </c>
      <c r="M70" s="44" t="e">
        <f>[1]월별!#REF!</f>
        <v>#REF!</v>
      </c>
      <c r="N70" s="44" t="e">
        <f>[1]월별!#REF!</f>
        <v>#REF!</v>
      </c>
      <c r="O70" s="44" t="e">
        <f>[1]월별!#REF!</f>
        <v>#REF!</v>
      </c>
      <c r="P70" s="44" t="e">
        <f>[1]월별!#REF!</f>
        <v>#REF!</v>
      </c>
      <c r="Q70" s="35" t="e">
        <f t="shared" si="1"/>
        <v>#REF!</v>
      </c>
      <c r="R70" s="31"/>
      <c r="S70" s="5"/>
    </row>
    <row r="71" spans="2:19" ht="24" hidden="1" customHeight="1" x14ac:dyDescent="0.25">
      <c r="B71" s="78"/>
      <c r="C71" s="81"/>
      <c r="D71" s="16" t="s">
        <v>52</v>
      </c>
      <c r="E71" s="43" t="e">
        <f>[1]월별!#REF!</f>
        <v>#REF!</v>
      </c>
      <c r="F71" s="44" t="e">
        <f>[1]월별!#REF!</f>
        <v>#REF!</v>
      </c>
      <c r="G71" s="44" t="e">
        <f>[1]월별!#REF!</f>
        <v>#REF!</v>
      </c>
      <c r="H71" s="44" t="e">
        <f>[1]월별!#REF!</f>
        <v>#REF!</v>
      </c>
      <c r="I71" s="44" t="e">
        <f>[1]월별!#REF!</f>
        <v>#REF!</v>
      </c>
      <c r="J71" s="44" t="e">
        <f>[1]월별!#REF!</f>
        <v>#REF!</v>
      </c>
      <c r="K71" s="44" t="e">
        <f>[1]월별!#REF!</f>
        <v>#REF!</v>
      </c>
      <c r="L71" s="44" t="e">
        <f>[1]월별!#REF!</f>
        <v>#REF!</v>
      </c>
      <c r="M71" s="44" t="e">
        <f>[1]월별!#REF!</f>
        <v>#REF!</v>
      </c>
      <c r="N71" s="44" t="e">
        <f>[1]월별!#REF!</f>
        <v>#REF!</v>
      </c>
      <c r="O71" s="44" t="e">
        <f>[1]월별!#REF!</f>
        <v>#REF!</v>
      </c>
      <c r="P71" s="44" t="e">
        <f>[1]월별!#REF!</f>
        <v>#REF!</v>
      </c>
      <c r="Q71" s="44" t="e">
        <f t="shared" si="1"/>
        <v>#REF!</v>
      </c>
      <c r="R71" s="31"/>
      <c r="S71" s="5"/>
    </row>
    <row r="72" spans="2:19" ht="24" hidden="1" customHeight="1" x14ac:dyDescent="0.25">
      <c r="B72" s="78"/>
      <c r="C72" s="81"/>
      <c r="D72" s="16" t="s">
        <v>58</v>
      </c>
      <c r="E72" s="43" t="e">
        <f>[1]월별!#REF!</f>
        <v>#REF!</v>
      </c>
      <c r="F72" s="44" t="e">
        <f>[1]월별!#REF!</f>
        <v>#REF!</v>
      </c>
      <c r="G72" s="44" t="e">
        <f>[1]월별!#REF!</f>
        <v>#REF!</v>
      </c>
      <c r="H72" s="44" t="e">
        <f>[1]월별!#REF!</f>
        <v>#REF!</v>
      </c>
      <c r="I72" s="44" t="e">
        <f>[1]월별!#REF!</f>
        <v>#REF!</v>
      </c>
      <c r="J72" s="44" t="e">
        <f>[1]월별!#REF!</f>
        <v>#REF!</v>
      </c>
      <c r="K72" s="44" t="e">
        <f>[1]월별!#REF!</f>
        <v>#REF!</v>
      </c>
      <c r="L72" s="44" t="e">
        <f>[1]월별!#REF!</f>
        <v>#REF!</v>
      </c>
      <c r="M72" s="44" t="e">
        <f>[1]월별!#REF!</f>
        <v>#REF!</v>
      </c>
      <c r="N72" s="44" t="e">
        <f>[1]월별!#REF!</f>
        <v>#REF!</v>
      </c>
      <c r="O72" s="44" t="e">
        <f>[1]월별!#REF!</f>
        <v>#REF!</v>
      </c>
      <c r="P72" s="44" t="e">
        <f>[1]월별!#REF!</f>
        <v>#REF!</v>
      </c>
      <c r="Q72" s="44" t="e">
        <f>+AVERAGE(E72:P72)</f>
        <v>#REF!</v>
      </c>
      <c r="R72" s="31"/>
      <c r="S72" s="5"/>
    </row>
    <row r="73" spans="2:19" ht="24" hidden="1" customHeight="1" x14ac:dyDescent="0.25">
      <c r="B73" s="78"/>
      <c r="C73" s="81"/>
      <c r="D73" s="16" t="s">
        <v>25</v>
      </c>
      <c r="E73" s="43" t="e">
        <f>[1]월별!#REF!</f>
        <v>#REF!</v>
      </c>
      <c r="F73" s="44" t="e">
        <f>[1]월별!#REF!</f>
        <v>#REF!</v>
      </c>
      <c r="G73" s="44" t="e">
        <f>[1]월별!#REF!</f>
        <v>#REF!</v>
      </c>
      <c r="H73" s="44" t="e">
        <f>[1]월별!#REF!</f>
        <v>#REF!</v>
      </c>
      <c r="I73" s="44" t="e">
        <f>[1]월별!#REF!</f>
        <v>#REF!</v>
      </c>
      <c r="J73" s="44" t="e">
        <f>[1]월별!#REF!</f>
        <v>#REF!</v>
      </c>
      <c r="K73" s="44" t="e">
        <f>[1]월별!#REF!</f>
        <v>#REF!</v>
      </c>
      <c r="L73" s="44" t="e">
        <f>[1]월별!#REF!</f>
        <v>#REF!</v>
      </c>
      <c r="M73" s="44" t="e">
        <f>[1]월별!#REF!</f>
        <v>#REF!</v>
      </c>
      <c r="N73" s="44" t="e">
        <f>[1]월별!#REF!</f>
        <v>#REF!</v>
      </c>
      <c r="O73" s="44" t="e">
        <f>[1]월별!#REF!</f>
        <v>#REF!</v>
      </c>
      <c r="P73" s="44" t="e">
        <f>[1]월별!#REF!</f>
        <v>#REF!</v>
      </c>
      <c r="Q73" s="44" t="e">
        <f t="shared" si="1"/>
        <v>#REF!</v>
      </c>
      <c r="R73" s="31"/>
      <c r="S73" s="5"/>
    </row>
    <row r="74" spans="2:19" ht="24" hidden="1" customHeight="1" x14ac:dyDescent="0.25">
      <c r="B74" s="78"/>
      <c r="C74" s="81"/>
      <c r="D74" s="16" t="s">
        <v>26</v>
      </c>
      <c r="E74" s="43" t="e">
        <f>[1]월별!#REF!</f>
        <v>#REF!</v>
      </c>
      <c r="F74" s="44" t="e">
        <f>[1]월별!#REF!</f>
        <v>#REF!</v>
      </c>
      <c r="G74" s="44" t="e">
        <f>[1]월별!#REF!</f>
        <v>#REF!</v>
      </c>
      <c r="H74" s="44" t="e">
        <f>[1]월별!#REF!</f>
        <v>#REF!</v>
      </c>
      <c r="I74" s="44" t="e">
        <f>[1]월별!#REF!</f>
        <v>#REF!</v>
      </c>
      <c r="J74" s="44" t="e">
        <f>[1]월별!#REF!</f>
        <v>#REF!</v>
      </c>
      <c r="K74" s="44" t="e">
        <f>[1]월별!#REF!</f>
        <v>#REF!</v>
      </c>
      <c r="L74" s="44" t="e">
        <f>[1]월별!#REF!</f>
        <v>#REF!</v>
      </c>
      <c r="M74" s="44" t="e">
        <f>[1]월별!#REF!</f>
        <v>#REF!</v>
      </c>
      <c r="N74" s="44" t="e">
        <f>[1]월별!#REF!</f>
        <v>#REF!</v>
      </c>
      <c r="O74" s="44" t="e">
        <f>[1]월별!#REF!</f>
        <v>#REF!</v>
      </c>
      <c r="P74" s="44" t="e">
        <f>[1]월별!#REF!</f>
        <v>#REF!</v>
      </c>
      <c r="Q74" s="44" t="e">
        <f t="shared" si="1"/>
        <v>#REF!</v>
      </c>
      <c r="R74" s="31"/>
      <c r="S74" s="5"/>
    </row>
    <row r="75" spans="2:19" ht="24" hidden="1" customHeight="1" x14ac:dyDescent="0.25">
      <c r="B75" s="78"/>
      <c r="C75" s="81"/>
      <c r="D75" s="16" t="s">
        <v>27</v>
      </c>
      <c r="E75" s="43" t="e">
        <f>[1]월별!#REF!</f>
        <v>#REF!</v>
      </c>
      <c r="F75" s="44" t="e">
        <f>[1]월별!#REF!</f>
        <v>#REF!</v>
      </c>
      <c r="G75" s="44" t="e">
        <f>[1]월별!#REF!</f>
        <v>#REF!</v>
      </c>
      <c r="H75" s="44" t="e">
        <f>[1]월별!#REF!</f>
        <v>#REF!</v>
      </c>
      <c r="I75" s="44" t="e">
        <f>[1]월별!#REF!</f>
        <v>#REF!</v>
      </c>
      <c r="J75" s="44" t="e">
        <f>[1]월별!#REF!</f>
        <v>#REF!</v>
      </c>
      <c r="K75" s="44" t="e">
        <f>[1]월별!#REF!</f>
        <v>#REF!</v>
      </c>
      <c r="L75" s="44" t="e">
        <f>[1]월별!#REF!</f>
        <v>#REF!</v>
      </c>
      <c r="M75" s="44" t="e">
        <f>[1]월별!#REF!</f>
        <v>#REF!</v>
      </c>
      <c r="N75" s="44" t="e">
        <f>[1]월별!#REF!</f>
        <v>#REF!</v>
      </c>
      <c r="O75" s="44" t="e">
        <f>[1]월별!#REF!</f>
        <v>#REF!</v>
      </c>
      <c r="P75" s="44" t="e">
        <f>[1]월별!#REF!</f>
        <v>#REF!</v>
      </c>
      <c r="Q75" s="44" t="e">
        <f t="shared" si="1"/>
        <v>#REF!</v>
      </c>
      <c r="R75" s="31"/>
      <c r="S75" s="5"/>
    </row>
    <row r="76" spans="2:19" ht="24" hidden="1" customHeight="1" x14ac:dyDescent="0.25">
      <c r="B76" s="78"/>
      <c r="C76" s="81"/>
      <c r="D76" s="16" t="s">
        <v>59</v>
      </c>
      <c r="E76" s="43" t="e">
        <f>[1]월별!#REF!</f>
        <v>#REF!</v>
      </c>
      <c r="F76" s="44" t="e">
        <f>[1]월별!#REF!</f>
        <v>#REF!</v>
      </c>
      <c r="G76" s="44" t="e">
        <f>[1]월별!#REF!</f>
        <v>#REF!</v>
      </c>
      <c r="H76" s="44" t="e">
        <f>[1]월별!#REF!</f>
        <v>#REF!</v>
      </c>
      <c r="I76" s="44" t="e">
        <f>[1]월별!#REF!</f>
        <v>#REF!</v>
      </c>
      <c r="J76" s="44" t="e">
        <f>[1]월별!#REF!</f>
        <v>#REF!</v>
      </c>
      <c r="K76" s="44" t="e">
        <f>[1]월별!#REF!</f>
        <v>#REF!</v>
      </c>
      <c r="L76" s="44" t="e">
        <f>[1]월별!#REF!</f>
        <v>#REF!</v>
      </c>
      <c r="M76" s="44" t="e">
        <f>[1]월별!#REF!</f>
        <v>#REF!</v>
      </c>
      <c r="N76" s="44" t="e">
        <f>[1]월별!#REF!</f>
        <v>#REF!</v>
      </c>
      <c r="O76" s="44" t="e">
        <f>[1]월별!#REF!</f>
        <v>#REF!</v>
      </c>
      <c r="P76" s="44" t="e">
        <f>[1]월별!#REF!</f>
        <v>#REF!</v>
      </c>
      <c r="Q76" s="44" t="e">
        <f t="shared" si="1"/>
        <v>#REF!</v>
      </c>
      <c r="R76" s="31"/>
    </row>
    <row r="77" spans="2:19" ht="24" hidden="1" customHeight="1" x14ac:dyDescent="0.25">
      <c r="B77" s="78"/>
      <c r="C77" s="81"/>
      <c r="D77" s="16" t="s">
        <v>60</v>
      </c>
      <c r="E77" s="43">
        <f>[1]월별!G41</f>
        <v>3.3114325094526142</v>
      </c>
      <c r="F77" s="44">
        <f>[1]월별!H41</f>
        <v>3.0945808642764572</v>
      </c>
      <c r="G77" s="44">
        <f>[1]월별!I41</f>
        <v>3.4728616310085711</v>
      </c>
      <c r="H77" s="44">
        <f>[1]월별!J41</f>
        <v>3.3981093775891145</v>
      </c>
      <c r="I77" s="44">
        <f>[1]월별!K41</f>
        <v>3.347115639057971</v>
      </c>
      <c r="J77" s="44">
        <f>[1]월별!L41</f>
        <v>3.4981679973750439</v>
      </c>
      <c r="K77" s="44">
        <f>[1]월별!M41</f>
        <v>3.5143222789710395</v>
      </c>
      <c r="L77" s="44">
        <f>[1]월별!N41</f>
        <v>3.4837933962527057</v>
      </c>
      <c r="M77" s="44">
        <f>[1]월별!O41</f>
        <v>3.3851880750349475</v>
      </c>
      <c r="N77" s="44">
        <f>[1]월별!P41</f>
        <v>3.6100247686090166</v>
      </c>
      <c r="O77" s="44">
        <f>[1]월별!Q41</f>
        <v>3.4401732581205122</v>
      </c>
      <c r="P77" s="44">
        <f>[1]월별!R41</f>
        <v>3.2663927521137426</v>
      </c>
      <c r="Q77" s="44">
        <f t="shared" si="1"/>
        <v>3.4018468789884779</v>
      </c>
      <c r="R77" s="31"/>
    </row>
    <row r="78" spans="2:19" ht="27.75" hidden="1" customHeight="1" x14ac:dyDescent="0.25">
      <c r="B78" s="78"/>
      <c r="C78" s="81"/>
      <c r="D78" s="16" t="s">
        <v>30</v>
      </c>
      <c r="E78" s="43">
        <f>[1]월별!S41</f>
        <v>3.2308404558404455</v>
      </c>
      <c r="F78" s="44">
        <f>[1]월별!T41</f>
        <v>3.3701348849822552</v>
      </c>
      <c r="G78" s="44">
        <f>[1]월별!U41</f>
        <v>3.527095483916812</v>
      </c>
      <c r="H78" s="44">
        <f>[1]월별!V41</f>
        <v>3.5769721592832728</v>
      </c>
      <c r="I78" s="44">
        <f>[1]월별!W41</f>
        <v>3.5779353655094552</v>
      </c>
      <c r="J78" s="44">
        <f>[1]월별!X41</f>
        <v>3.5812625055495624</v>
      </c>
      <c r="K78" s="44">
        <f>[1]월별!Y41</f>
        <v>3.5740984871625847</v>
      </c>
      <c r="L78" s="44">
        <f>[1]월별!Z41</f>
        <v>3.5659864378495865</v>
      </c>
      <c r="M78" s="44">
        <f>[1]월별!AA41</f>
        <v>3.5264591006669939</v>
      </c>
      <c r="N78" s="44">
        <f>[1]월별!AB41</f>
        <v>3.4216898906853843</v>
      </c>
      <c r="O78" s="44">
        <f>[1]월별!AC41</f>
        <v>3.4271248201658628</v>
      </c>
      <c r="P78" s="44">
        <f>[1]월별!AD41</f>
        <v>3.3122932671788243</v>
      </c>
      <c r="Q78" s="44">
        <f t="shared" si="1"/>
        <v>3.474324404899253</v>
      </c>
      <c r="R78" s="31"/>
    </row>
    <row r="79" spans="2:19" ht="27.75" hidden="1" customHeight="1" x14ac:dyDescent="0.25">
      <c r="B79" s="78"/>
      <c r="C79" s="81"/>
      <c r="D79" s="16" t="s">
        <v>31</v>
      </c>
      <c r="E79" s="43">
        <f>[1]월별!AE41</f>
        <v>3.525824898361186</v>
      </c>
      <c r="F79" s="44">
        <f>[1]월별!AF41</f>
        <v>3.1961877176043889</v>
      </c>
      <c r="G79" s="44">
        <f>[1]월별!AG41</f>
        <v>3.3780677974610551</v>
      </c>
      <c r="H79" s="44">
        <f>[1]월별!AH41</f>
        <v>3.4670532499144762</v>
      </c>
      <c r="I79" s="44">
        <f>[1]월별!AI41</f>
        <v>3.5704517529833808</v>
      </c>
      <c r="J79" s="44">
        <f>[1]월별!AJ41</f>
        <v>3.5900851819693274</v>
      </c>
      <c r="K79" s="44">
        <f>[1]월별!AK41</f>
        <v>3.5530794954162528</v>
      </c>
      <c r="L79" s="44">
        <f>[1]월별!AL41</f>
        <v>3.5490913382109865</v>
      </c>
      <c r="M79" s="44">
        <f>[1]월별!AM41</f>
        <v>3.552593455639411</v>
      </c>
      <c r="N79" s="44">
        <f>[1]월별!AN41</f>
        <v>3.5110450645182296</v>
      </c>
      <c r="O79" s="44">
        <f>[1]월별!AO41</f>
        <v>3.4727248600656586</v>
      </c>
      <c r="P79" s="44">
        <f>[1]월별!AP41</f>
        <v>3.2687325653147248</v>
      </c>
      <c r="Q79" s="44">
        <f t="shared" si="1"/>
        <v>3.469578114788257</v>
      </c>
      <c r="R79" s="31"/>
    </row>
    <row r="80" spans="2:19" ht="55.5" customHeight="1" x14ac:dyDescent="0.25">
      <c r="B80" s="78"/>
      <c r="C80" s="81"/>
      <c r="D80" s="16" t="s">
        <v>32</v>
      </c>
      <c r="E80" s="24">
        <f>[1]월별!AQ41*1000</f>
        <v>296.84895783763409</v>
      </c>
      <c r="F80" s="24">
        <f>[1]월별!AR41*1000</f>
        <v>297.14355873415343</v>
      </c>
      <c r="G80" s="24">
        <f>[1]월별!AS41*1000</f>
        <v>286.66198476581457</v>
      </c>
      <c r="H80" s="24">
        <f>[1]월별!AT41*1000</f>
        <v>283.67317425885756</v>
      </c>
      <c r="I80" s="24">
        <f>[1]월별!AU41*1000</f>
        <v>285.40762676013867</v>
      </c>
      <c r="J80" s="24">
        <f>[1]월별!AV41*1000</f>
        <v>284.67886233142025</v>
      </c>
      <c r="K80" s="24">
        <f>[1]월별!AW41*1000</f>
        <v>293.83566061851002</v>
      </c>
      <c r="L80" s="24">
        <f>[1]월별!AX41*1000</f>
        <v>284.68077853904799</v>
      </c>
      <c r="M80" s="24">
        <f>[1]월별!AY41*1000</f>
        <v>292.49761149313969</v>
      </c>
      <c r="N80" s="24">
        <f>[1]월별!AZ41*1000</f>
        <v>291.06865897484346</v>
      </c>
      <c r="O80" s="24">
        <f>[1]월별!BA41*1000</f>
        <v>290.16504182338338</v>
      </c>
      <c r="P80" s="24">
        <f>[1]월별!BB41*1000</f>
        <v>317.31574566177818</v>
      </c>
      <c r="Q80" s="25">
        <f t="shared" si="1"/>
        <v>291.9981384832268</v>
      </c>
      <c r="R80" s="67" t="s">
        <v>82</v>
      </c>
    </row>
    <row r="81" spans="2:19" ht="55.5" customHeight="1" x14ac:dyDescent="0.25">
      <c r="B81" s="78"/>
      <c r="C81" s="81"/>
      <c r="D81" s="16" t="s">
        <v>33</v>
      </c>
      <c r="E81" s="24">
        <f>[1]월별!BC41*1000</f>
        <v>299.8465473145784</v>
      </c>
      <c r="F81" s="24">
        <f>[1]월별!BD41*1000</f>
        <v>304.42643164092402</v>
      </c>
      <c r="G81" s="24">
        <f>[1]월별!BE41*1000</f>
        <v>302.35806083349394</v>
      </c>
      <c r="H81" s="24">
        <f>[1]월별!BF41*1000</f>
        <v>282.70908224978393</v>
      </c>
      <c r="I81" s="24">
        <f>[1]월별!BG41*1000</f>
        <v>285.79377175526105</v>
      </c>
      <c r="J81" s="24">
        <f>[1]월별!BH41*1000</f>
        <v>285.89625608262673</v>
      </c>
      <c r="K81" s="24">
        <f>[1]월별!BI41*1000</f>
        <v>283.57473440308587</v>
      </c>
      <c r="L81" s="24">
        <f>[1]월별!BJ41*1000</f>
        <v>280.38847404828005</v>
      </c>
      <c r="M81" s="24">
        <f>[1]월별!BK41*1000</f>
        <v>275.84118738404931</v>
      </c>
      <c r="N81" s="24">
        <f>[1]월별!BL41*1000</f>
        <v>287.66328206159028</v>
      </c>
      <c r="O81" s="24">
        <f>[1]월별!BM41*1000</f>
        <v>296.14534342397542</v>
      </c>
      <c r="P81" s="24">
        <f>[1]월별!BN41*1000</f>
        <v>319.78547573194101</v>
      </c>
      <c r="Q81" s="24">
        <f>[1]월별!BO41*1000</f>
        <v>311.58666286973693</v>
      </c>
      <c r="R81" s="64"/>
    </row>
    <row r="82" spans="2:19" ht="55.5" customHeight="1" x14ac:dyDescent="0.25">
      <c r="B82" s="78"/>
      <c r="C82" s="81"/>
      <c r="D82" s="16" t="s">
        <v>34</v>
      </c>
      <c r="E82" s="24">
        <f>[1]월별!BO41*1000</f>
        <v>311.58666286973693</v>
      </c>
      <c r="F82" s="24">
        <f>[1]월별!BP41*1000</f>
        <v>308.10451343042303</v>
      </c>
      <c r="G82" s="24">
        <f>[1]월별!BQ41*1000</f>
        <v>299.38122751553146</v>
      </c>
      <c r="H82" s="24">
        <f>[1]월별!BR41*1000</f>
        <v>294.08280986756262</v>
      </c>
      <c r="I82" s="24">
        <f>[1]월별!BS41*1000</f>
        <v>289.73524994636557</v>
      </c>
      <c r="J82" s="24">
        <f>[1]월별!BT41*1000</f>
        <v>291.23519696383789</v>
      </c>
      <c r="K82" s="24">
        <f>[1]월별!BU41*1000</f>
        <v>301.90429439544965</v>
      </c>
      <c r="L82" s="24">
        <f>[1]월별!BV41*1000</f>
        <v>318.1816783797467</v>
      </c>
      <c r="M82" s="24">
        <f>[1]월별!BW41*1000</f>
        <v>306.57916106444497</v>
      </c>
      <c r="N82" s="24">
        <f>[1]월별!BX41*1000</f>
        <v>315.68928947846126</v>
      </c>
      <c r="O82" s="24">
        <f>[1]월별!BY41*1000</f>
        <v>325.85542255178683</v>
      </c>
      <c r="P82" s="57">
        <f>[1]월별!BZ41*1000</f>
        <v>346.5772982932009</v>
      </c>
      <c r="Q82" s="24">
        <f>[1]월별!CA41*1000</f>
        <v>345.90749663736057</v>
      </c>
      <c r="R82" s="64"/>
    </row>
    <row r="83" spans="2:19" ht="55.5" customHeight="1" x14ac:dyDescent="0.25">
      <c r="B83" s="79"/>
      <c r="C83" s="82"/>
      <c r="D83" s="16" t="s">
        <v>35</v>
      </c>
      <c r="E83" s="56">
        <f>[1]월별!CA41*1000</f>
        <v>345.90749663736057</v>
      </c>
      <c r="F83" s="56">
        <f>[1]월별!CB41*1000</f>
        <v>341.1154651614238</v>
      </c>
      <c r="G83" s="25">
        <v>327</v>
      </c>
      <c r="H83" s="25">
        <f>0.323370587874918*1000</f>
        <v>323.37058787491799</v>
      </c>
      <c r="I83" s="44"/>
      <c r="J83" s="44"/>
      <c r="K83" s="44"/>
      <c r="L83" s="44"/>
      <c r="M83" s="44"/>
      <c r="N83" s="44"/>
      <c r="O83" s="44"/>
      <c r="P83" s="44"/>
      <c r="Q83" s="25">
        <f t="shared" si="1"/>
        <v>334.34838741842555</v>
      </c>
      <c r="R83" s="64"/>
    </row>
    <row r="84" spans="2:19" ht="24" hidden="1" customHeight="1" x14ac:dyDescent="0.25">
      <c r="B84" s="83" t="s">
        <v>81</v>
      </c>
      <c r="C84" s="84" t="s">
        <v>78</v>
      </c>
      <c r="D84" s="16" t="s">
        <v>61</v>
      </c>
      <c r="E84" s="41">
        <v>19578.136899365367</v>
      </c>
      <c r="F84" s="40">
        <v>19294.156885397413</v>
      </c>
      <c r="G84" s="40">
        <v>17753.721809967676</v>
      </c>
      <c r="H84" s="40">
        <v>16776.684145841868</v>
      </c>
      <c r="I84" s="40">
        <v>15588.006939299203</v>
      </c>
      <c r="J84" s="40">
        <v>15640.555992623167</v>
      </c>
      <c r="K84" s="40">
        <v>21438.5222910148</v>
      </c>
      <c r="L84" s="40">
        <v>21801.035872350338</v>
      </c>
      <c r="M84" s="40">
        <v>16720.320502793384</v>
      </c>
      <c r="N84" s="40">
        <v>15564.755391989045</v>
      </c>
      <c r="O84" s="40">
        <v>18803.309202453987</v>
      </c>
      <c r="P84" s="40">
        <v>18927.21340261602</v>
      </c>
      <c r="Q84" s="40">
        <f>AVERAGE(E84:P84)</f>
        <v>18157.201611309356</v>
      </c>
      <c r="R84" s="72"/>
      <c r="S84" s="5"/>
    </row>
    <row r="85" spans="2:19" ht="12.75" hidden="1" customHeight="1" x14ac:dyDescent="0.25">
      <c r="B85" s="83"/>
      <c r="C85" s="84"/>
      <c r="D85" s="70" t="s">
        <v>56</v>
      </c>
      <c r="E85" s="76">
        <v>20093.200668896319</v>
      </c>
      <c r="F85" s="68">
        <v>20278.909593703469</v>
      </c>
      <c r="G85" s="68">
        <v>18007.766929415979</v>
      </c>
      <c r="H85" s="68">
        <v>17450.8500084076</v>
      </c>
      <c r="I85" s="68">
        <v>18032.261024582473</v>
      </c>
      <c r="J85" s="68">
        <v>17717.444068047553</v>
      </c>
      <c r="K85" s="68">
        <v>23202.960052268059</v>
      </c>
      <c r="L85" s="68">
        <v>24447.12886481607</v>
      </c>
      <c r="M85" s="68">
        <v>20560.119315922046</v>
      </c>
      <c r="N85" s="68">
        <v>17066.175655964733</v>
      </c>
      <c r="O85" s="45">
        <v>23555.230039072889</v>
      </c>
      <c r="P85" s="68">
        <v>26535.125411470166</v>
      </c>
      <c r="Q85" s="68">
        <f>AVERAGE(E85:P85)</f>
        <v>20578.930969380614</v>
      </c>
      <c r="R85" s="72"/>
      <c r="S85" s="5"/>
    </row>
    <row r="86" spans="2:19" ht="12.75" hidden="1" customHeight="1" x14ac:dyDescent="0.25">
      <c r="B86" s="83"/>
      <c r="C86" s="84"/>
      <c r="D86" s="70"/>
      <c r="E86" s="76"/>
      <c r="F86" s="68"/>
      <c r="G86" s="68"/>
      <c r="H86" s="68"/>
      <c r="I86" s="68"/>
      <c r="J86" s="68"/>
      <c r="K86" s="68"/>
      <c r="L86" s="68"/>
      <c r="M86" s="68"/>
      <c r="N86" s="68"/>
      <c r="O86" s="46" t="s">
        <v>62</v>
      </c>
      <c r="P86" s="68"/>
      <c r="Q86" s="68"/>
      <c r="R86" s="72"/>
      <c r="S86" s="5"/>
    </row>
    <row r="87" spans="2:19" ht="12.75" hidden="1" customHeight="1" x14ac:dyDescent="0.25">
      <c r="B87" s="83"/>
      <c r="C87" s="84"/>
      <c r="D87" s="70" t="s">
        <v>57</v>
      </c>
      <c r="E87" s="76">
        <v>33722.40848389631</v>
      </c>
      <c r="F87" s="68">
        <v>27010.483462706718</v>
      </c>
      <c r="G87" s="68">
        <v>21111.771717616011</v>
      </c>
      <c r="H87" s="68">
        <v>19999.727866251756</v>
      </c>
      <c r="I87" s="68">
        <v>20094.729001445907</v>
      </c>
      <c r="J87" s="68">
        <v>18739.084729806062</v>
      </c>
      <c r="K87" s="45">
        <v>25882.648226709654</v>
      </c>
      <c r="L87" s="68">
        <v>27723.987584983744</v>
      </c>
      <c r="M87" s="68">
        <v>19261.543948071783</v>
      </c>
      <c r="N87" s="68">
        <v>19522.140169785838</v>
      </c>
      <c r="O87" s="68">
        <v>23074.462456033034</v>
      </c>
      <c r="P87" s="68" t="e">
        <f>+[1]월별!#REF!</f>
        <v>#REF!</v>
      </c>
      <c r="Q87" s="68" t="e">
        <f>AVERAGE(E87:P87)</f>
        <v>#REF!</v>
      </c>
      <c r="R87" s="72"/>
      <c r="S87" s="5"/>
    </row>
    <row r="88" spans="2:19" ht="12.75" hidden="1" customHeight="1" x14ac:dyDescent="0.25">
      <c r="B88" s="83"/>
      <c r="C88" s="84"/>
      <c r="D88" s="70"/>
      <c r="E88" s="76"/>
      <c r="F88" s="68"/>
      <c r="G88" s="68"/>
      <c r="H88" s="68"/>
      <c r="I88" s="68"/>
      <c r="J88" s="68"/>
      <c r="K88" s="46" t="s">
        <v>63</v>
      </c>
      <c r="L88" s="68"/>
      <c r="M88" s="68"/>
      <c r="N88" s="68"/>
      <c r="O88" s="68"/>
      <c r="P88" s="68"/>
      <c r="Q88" s="68"/>
      <c r="R88" s="72"/>
      <c r="S88" s="5"/>
    </row>
    <row r="89" spans="2:19" ht="12.75" hidden="1" customHeight="1" x14ac:dyDescent="0.25">
      <c r="B89" s="83"/>
      <c r="C89" s="84"/>
      <c r="D89" s="70" t="s">
        <v>19</v>
      </c>
      <c r="E89" s="75" t="e">
        <f>+[1]월별!#REF!</f>
        <v>#REF!</v>
      </c>
      <c r="F89" s="74" t="e">
        <f>+[1]월별!#REF!</f>
        <v>#REF!</v>
      </c>
      <c r="G89" s="74" t="e">
        <f>+[1]월별!#REF!</f>
        <v>#REF!</v>
      </c>
      <c r="H89" s="74" t="e">
        <f>+[1]월별!#REF!</f>
        <v>#REF!</v>
      </c>
      <c r="I89" s="74" t="e">
        <f>+[1]월별!#REF!</f>
        <v>#REF!</v>
      </c>
      <c r="J89" s="74" t="e">
        <f>+[1]월별!#REF!</f>
        <v>#REF!</v>
      </c>
      <c r="K89" s="74" t="e">
        <f>+[1]월별!#REF!</f>
        <v>#REF!</v>
      </c>
      <c r="L89" s="40">
        <v>24968</v>
      </c>
      <c r="M89" s="68">
        <v>18812</v>
      </c>
      <c r="N89" s="68" t="e">
        <f>+[1]월별!#REF!</f>
        <v>#REF!</v>
      </c>
      <c r="O89" s="68" t="e">
        <f>+[1]월별!#REF!</f>
        <v>#REF!</v>
      </c>
      <c r="P89" s="68">
        <v>26135</v>
      </c>
      <c r="Q89" s="68" t="e">
        <f>AVERAGE(E89:P89)</f>
        <v>#REF!</v>
      </c>
      <c r="R89" s="72"/>
      <c r="S89" s="5"/>
    </row>
    <row r="90" spans="2:19" ht="12.75" hidden="1" customHeight="1" x14ac:dyDescent="0.25">
      <c r="B90" s="83"/>
      <c r="C90" s="84"/>
      <c r="D90" s="70"/>
      <c r="E90" s="75"/>
      <c r="F90" s="74"/>
      <c r="G90" s="74"/>
      <c r="H90" s="74"/>
      <c r="I90" s="74"/>
      <c r="J90" s="74"/>
      <c r="K90" s="74"/>
      <c r="L90" s="46" t="s">
        <v>64</v>
      </c>
      <c r="M90" s="68"/>
      <c r="N90" s="68"/>
      <c r="O90" s="68"/>
      <c r="P90" s="68"/>
      <c r="Q90" s="68"/>
      <c r="R90" s="72"/>
    </row>
    <row r="91" spans="2:19" ht="12.75" hidden="1" customHeight="1" x14ac:dyDescent="0.25">
      <c r="B91" s="83"/>
      <c r="C91" s="84"/>
      <c r="D91" s="70" t="s">
        <v>65</v>
      </c>
      <c r="E91" s="71" t="e">
        <f>[1]월별!#REF!</f>
        <v>#REF!</v>
      </c>
      <c r="F91" s="69" t="e">
        <f>[1]월별!#REF!</f>
        <v>#REF!</v>
      </c>
      <c r="G91" s="69" t="e">
        <f>[1]월별!#REF!</f>
        <v>#REF!</v>
      </c>
      <c r="H91" s="69" t="e">
        <f>[1]월별!#REF!</f>
        <v>#REF!</v>
      </c>
      <c r="I91" s="69" t="e">
        <f>[1]월별!#REF!</f>
        <v>#REF!</v>
      </c>
      <c r="J91" s="69" t="e">
        <f>[1]월별!#REF!</f>
        <v>#REF!</v>
      </c>
      <c r="K91" s="69" t="e">
        <f>[1]월별!#REF!</f>
        <v>#REF!</v>
      </c>
      <c r="L91" s="47">
        <v>27325</v>
      </c>
      <c r="M91" s="69">
        <v>20984</v>
      </c>
      <c r="N91" s="69" t="e">
        <f>[1]월별!#REF!</f>
        <v>#REF!</v>
      </c>
      <c r="O91" s="69" t="e">
        <f>[1]월별!#REF!</f>
        <v>#REF!</v>
      </c>
      <c r="P91" s="47">
        <v>28801</v>
      </c>
      <c r="Q91" s="68" t="e">
        <f>AVERAGE(E91:P91)</f>
        <v>#REF!</v>
      </c>
      <c r="R91" s="72"/>
    </row>
    <row r="92" spans="2:19" ht="12.75" hidden="1" customHeight="1" x14ac:dyDescent="0.25">
      <c r="B92" s="83"/>
      <c r="C92" s="84"/>
      <c r="D92" s="70"/>
      <c r="E92" s="71"/>
      <c r="F92" s="69"/>
      <c r="G92" s="69"/>
      <c r="H92" s="69"/>
      <c r="I92" s="69"/>
      <c r="J92" s="69"/>
      <c r="K92" s="69"/>
      <c r="L92" s="46" t="s">
        <v>66</v>
      </c>
      <c r="M92" s="69"/>
      <c r="N92" s="69"/>
      <c r="O92" s="69"/>
      <c r="P92" s="48" t="s">
        <v>67</v>
      </c>
      <c r="Q92" s="68"/>
      <c r="R92" s="72"/>
      <c r="S92" s="6"/>
    </row>
    <row r="93" spans="2:19" ht="12.75" hidden="1" customHeight="1" x14ac:dyDescent="0.25">
      <c r="B93" s="83"/>
      <c r="C93" s="84"/>
      <c r="D93" s="70" t="s">
        <v>68</v>
      </c>
      <c r="E93" s="71" t="e">
        <f>[1]월별!#REF!</f>
        <v>#REF!</v>
      </c>
      <c r="F93" s="69" t="e">
        <f>[1]월별!#REF!</f>
        <v>#REF!</v>
      </c>
      <c r="G93" s="69" t="e">
        <f>[1]월별!#REF!</f>
        <v>#REF!</v>
      </c>
      <c r="H93" s="69" t="e">
        <f>[1]월별!#REF!</f>
        <v>#REF!</v>
      </c>
      <c r="I93" s="69" t="e">
        <f>[1]월별!#REF!</f>
        <v>#REF!</v>
      </c>
      <c r="J93" s="69" t="e">
        <f>[1]월별!#REF!</f>
        <v>#REF!</v>
      </c>
      <c r="K93" s="69" t="e">
        <f>[1]월별!#REF!</f>
        <v>#REF!</v>
      </c>
      <c r="L93" s="47" t="e">
        <f>[1]월별!#REF!</f>
        <v>#REF!</v>
      </c>
      <c r="M93" s="69" t="e">
        <f>[1]월별!#REF!</f>
        <v>#REF!</v>
      </c>
      <c r="N93" s="69" t="e">
        <f>[1]월별!#REF!</f>
        <v>#REF!</v>
      </c>
      <c r="O93" s="69" t="e">
        <f>[1]월별!#REF!</f>
        <v>#REF!</v>
      </c>
      <c r="P93" s="69" t="e">
        <f>[1]월별!#REF!</f>
        <v>#REF!</v>
      </c>
      <c r="Q93" s="68" t="e">
        <f>AVERAGE(E93:P93)</f>
        <v>#REF!</v>
      </c>
      <c r="R93" s="72"/>
      <c r="S93" s="6"/>
    </row>
    <row r="94" spans="2:19" ht="12.75" hidden="1" customHeight="1" x14ac:dyDescent="0.25">
      <c r="B94" s="83"/>
      <c r="C94" s="84"/>
      <c r="D94" s="70"/>
      <c r="E94" s="71"/>
      <c r="F94" s="69"/>
      <c r="G94" s="69"/>
      <c r="H94" s="69"/>
      <c r="I94" s="69"/>
      <c r="J94" s="69"/>
      <c r="K94" s="69"/>
      <c r="L94" s="46" t="s">
        <v>69</v>
      </c>
      <c r="M94" s="69"/>
      <c r="N94" s="69"/>
      <c r="O94" s="69"/>
      <c r="P94" s="69"/>
      <c r="Q94" s="68"/>
      <c r="R94" s="72"/>
      <c r="S94" s="6"/>
    </row>
    <row r="95" spans="2:19" ht="12.75" hidden="1" customHeight="1" x14ac:dyDescent="0.25">
      <c r="B95" s="83"/>
      <c r="C95" s="84"/>
      <c r="D95" s="70" t="s">
        <v>70</v>
      </c>
      <c r="E95" s="49" t="e">
        <f>[1]월별!#REF!</f>
        <v>#REF!</v>
      </c>
      <c r="F95" s="69" t="e">
        <f>[1]월별!#REF!</f>
        <v>#REF!</v>
      </c>
      <c r="G95" s="69" t="e">
        <f>[1]월별!#REF!</f>
        <v>#REF!</v>
      </c>
      <c r="H95" s="69" t="e">
        <f>[1]월별!#REF!</f>
        <v>#REF!</v>
      </c>
      <c r="I95" s="69" t="e">
        <f>[1]월별!#REF!</f>
        <v>#REF!</v>
      </c>
      <c r="J95" s="69" t="e">
        <f>[1]월별!#REF!</f>
        <v>#REF!</v>
      </c>
      <c r="K95" s="69" t="e">
        <f>[1]월별!#REF!</f>
        <v>#REF!</v>
      </c>
      <c r="L95" s="69" t="e">
        <f>[1]월별!#REF!</f>
        <v>#REF!</v>
      </c>
      <c r="M95" s="69" t="e">
        <f>[1]월별!#REF!</f>
        <v>#REF!</v>
      </c>
      <c r="N95" s="69" t="e">
        <f>[1]월별!#REF!</f>
        <v>#REF!</v>
      </c>
      <c r="O95" s="47" t="e">
        <f>[1]월별!#REF!</f>
        <v>#REF!</v>
      </c>
      <c r="P95" s="69" t="e">
        <f>[1]월별!#REF!</f>
        <v>#REF!</v>
      </c>
      <c r="Q95" s="68" t="e">
        <f>AVERAGE(E95:P95)</f>
        <v>#REF!</v>
      </c>
      <c r="R95" s="72"/>
    </row>
    <row r="96" spans="2:19" ht="12.75" hidden="1" customHeight="1" x14ac:dyDescent="0.25">
      <c r="B96" s="83"/>
      <c r="C96" s="84"/>
      <c r="D96" s="70"/>
      <c r="E96" s="50" t="s">
        <v>71</v>
      </c>
      <c r="F96" s="69"/>
      <c r="G96" s="69"/>
      <c r="H96" s="69"/>
      <c r="I96" s="69"/>
      <c r="J96" s="69"/>
      <c r="K96" s="69"/>
      <c r="L96" s="69"/>
      <c r="M96" s="69"/>
      <c r="N96" s="69"/>
      <c r="O96" s="46" t="s">
        <v>72</v>
      </c>
      <c r="P96" s="69"/>
      <c r="Q96" s="68"/>
      <c r="R96" s="72"/>
      <c r="S96" s="6"/>
    </row>
    <row r="97" spans="2:19" ht="12.75" hidden="1" customHeight="1" x14ac:dyDescent="0.25">
      <c r="B97" s="83"/>
      <c r="C97" s="84"/>
      <c r="D97" s="70" t="s">
        <v>52</v>
      </c>
      <c r="E97" s="71" t="e">
        <f>[1]월별!#REF!</f>
        <v>#REF!</v>
      </c>
      <c r="F97" s="69" t="e">
        <f>[1]월별!#REF!</f>
        <v>#REF!</v>
      </c>
      <c r="G97" s="69" t="e">
        <f>[1]월별!#REF!</f>
        <v>#REF!</v>
      </c>
      <c r="H97" s="69" t="e">
        <f>[1]월별!#REF!</f>
        <v>#REF!</v>
      </c>
      <c r="I97" s="69" t="e">
        <f>[1]월별!#REF!</f>
        <v>#REF!</v>
      </c>
      <c r="J97" s="69" t="e">
        <f>[1]월별!#REF!</f>
        <v>#REF!</v>
      </c>
      <c r="K97" s="69" t="e">
        <f>[1]월별!#REF!</f>
        <v>#REF!</v>
      </c>
      <c r="L97" s="69" t="e">
        <f>[1]월별!#REF!</f>
        <v>#REF!</v>
      </c>
      <c r="M97" s="69" t="e">
        <f>[1]월별!#REF!</f>
        <v>#REF!</v>
      </c>
      <c r="N97" s="69" t="e">
        <f>[1]월별!#REF!</f>
        <v>#REF!</v>
      </c>
      <c r="O97" s="69" t="e">
        <f>[1]월별!#REF!</f>
        <v>#REF!</v>
      </c>
      <c r="P97" s="69" t="e">
        <f>[1]월별!#REF!</f>
        <v>#REF!</v>
      </c>
      <c r="Q97" s="68" t="e">
        <f>AVERAGE(E97:P97)</f>
        <v>#REF!</v>
      </c>
      <c r="R97" s="72"/>
      <c r="S97" s="6"/>
    </row>
    <row r="98" spans="2:19" ht="13.5" hidden="1" customHeight="1" x14ac:dyDescent="0.25">
      <c r="B98" s="83"/>
      <c r="C98" s="84"/>
      <c r="D98" s="70"/>
      <c r="E98" s="71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8"/>
      <c r="R98" s="72"/>
    </row>
    <row r="99" spans="2:19" ht="24" hidden="1" customHeight="1" x14ac:dyDescent="0.25">
      <c r="B99" s="83"/>
      <c r="C99" s="84"/>
      <c r="D99" s="16" t="s">
        <v>73</v>
      </c>
      <c r="E99" s="41" t="e">
        <f>+[1]월별!#REF!</f>
        <v>#REF!</v>
      </c>
      <c r="F99" s="40" t="e">
        <f>+[1]월별!#REF!</f>
        <v>#REF!</v>
      </c>
      <c r="G99" s="40" t="e">
        <f>+[1]월별!#REF!</f>
        <v>#REF!</v>
      </c>
      <c r="H99" s="40" t="e">
        <f>+[1]월별!#REF!</f>
        <v>#REF!</v>
      </c>
      <c r="I99" s="40" t="e">
        <f>+[1]월별!#REF!</f>
        <v>#REF!</v>
      </c>
      <c r="J99" s="40" t="e">
        <f>+[1]월별!#REF!</f>
        <v>#REF!</v>
      </c>
      <c r="K99" s="40" t="e">
        <f>+[1]월별!#REF!</f>
        <v>#REF!</v>
      </c>
      <c r="L99" s="40" t="e">
        <f>+[1]월별!#REF!</f>
        <v>#REF!</v>
      </c>
      <c r="M99" s="40" t="e">
        <f>+[1]월별!#REF!</f>
        <v>#REF!</v>
      </c>
      <c r="N99" s="40" t="e">
        <f>+[1]월별!#REF!</f>
        <v>#REF!</v>
      </c>
      <c r="O99" s="40" t="e">
        <f>+[1]월별!#REF!</f>
        <v>#REF!</v>
      </c>
      <c r="P99" s="40" t="e">
        <f>+[1]월별!#REF!</f>
        <v>#REF!</v>
      </c>
      <c r="Q99" s="45" t="e">
        <f>AVERAGE(E99:P99)</f>
        <v>#REF!</v>
      </c>
      <c r="R99" s="72"/>
      <c r="S99" s="5"/>
    </row>
    <row r="100" spans="2:19" ht="24" hidden="1" customHeight="1" x14ac:dyDescent="0.25">
      <c r="B100" s="83"/>
      <c r="C100" s="84"/>
      <c r="D100" s="16" t="s">
        <v>73</v>
      </c>
      <c r="E100" s="41" t="e">
        <f>+[1]월별!#REF!</f>
        <v>#REF!</v>
      </c>
      <c r="F100" s="40" t="e">
        <f>+[1]월별!#REF!</f>
        <v>#REF!</v>
      </c>
      <c r="G100" s="40" t="e">
        <f>+[1]월별!#REF!</f>
        <v>#REF!</v>
      </c>
      <c r="H100" s="40" t="e">
        <f>+[1]월별!#REF!</f>
        <v>#REF!</v>
      </c>
      <c r="I100" s="40" t="e">
        <f>+[1]월별!#REF!</f>
        <v>#REF!</v>
      </c>
      <c r="J100" s="40" t="e">
        <f>+[1]월별!#REF!</f>
        <v>#REF!</v>
      </c>
      <c r="K100" s="40" t="e">
        <f>+[1]월별!#REF!</f>
        <v>#REF!</v>
      </c>
      <c r="L100" s="40" t="e">
        <f>+[1]월별!#REF!</f>
        <v>#REF!</v>
      </c>
      <c r="M100" s="40" t="e">
        <f>+[1]월별!#REF!</f>
        <v>#REF!</v>
      </c>
      <c r="N100" s="40" t="e">
        <f>+[1]월별!#REF!</f>
        <v>#REF!</v>
      </c>
      <c r="O100" s="40" t="e">
        <f>+[1]월별!#REF!</f>
        <v>#REF!</v>
      </c>
      <c r="P100" s="40" t="e">
        <f>+[1]월별!#REF!</f>
        <v>#REF!</v>
      </c>
      <c r="Q100" s="45" t="e">
        <f t="shared" ref="Q100:Q105" si="2">AVERAGE(E100:P100)</f>
        <v>#REF!</v>
      </c>
      <c r="R100" s="72"/>
      <c r="S100" s="5"/>
    </row>
    <row r="101" spans="2:19" ht="24" hidden="1" customHeight="1" x14ac:dyDescent="0.25">
      <c r="B101" s="83"/>
      <c r="C101" s="84"/>
      <c r="D101" s="16" t="s">
        <v>74</v>
      </c>
      <c r="E101" s="41" t="e">
        <f>[1]월별!#REF!</f>
        <v>#REF!</v>
      </c>
      <c r="F101" s="40" t="e">
        <f>[1]월별!#REF!</f>
        <v>#REF!</v>
      </c>
      <c r="G101" s="40" t="e">
        <f>[1]월별!#REF!</f>
        <v>#REF!</v>
      </c>
      <c r="H101" s="40" t="e">
        <f>[1]월별!#REF!</f>
        <v>#REF!</v>
      </c>
      <c r="I101" s="40" t="e">
        <f>[1]월별!#REF!</f>
        <v>#REF!</v>
      </c>
      <c r="J101" s="40" t="e">
        <f>[1]월별!#REF!</f>
        <v>#REF!</v>
      </c>
      <c r="K101" s="40" t="e">
        <f>[1]월별!#REF!</f>
        <v>#REF!</v>
      </c>
      <c r="L101" s="40" t="e">
        <f>[1]월별!#REF!</f>
        <v>#REF!</v>
      </c>
      <c r="M101" s="40" t="e">
        <f>[1]월별!#REF!</f>
        <v>#REF!</v>
      </c>
      <c r="N101" s="40" t="e">
        <f>[1]월별!#REF!</f>
        <v>#REF!</v>
      </c>
      <c r="O101" s="40" t="e">
        <f>[1]월별!#REF!</f>
        <v>#REF!</v>
      </c>
      <c r="P101" s="40" t="e">
        <f>[1]월별!#REF!</f>
        <v>#REF!</v>
      </c>
      <c r="Q101" s="45" t="e">
        <f t="shared" si="2"/>
        <v>#REF!</v>
      </c>
      <c r="R101" s="72"/>
    </row>
    <row r="102" spans="2:19" ht="24" hidden="1" customHeight="1" x14ac:dyDescent="0.25">
      <c r="B102" s="83"/>
      <c r="C102" s="84"/>
      <c r="D102" s="16" t="s">
        <v>27</v>
      </c>
      <c r="E102" s="41" t="e">
        <f>[1]월별!#REF!</f>
        <v>#REF!</v>
      </c>
      <c r="F102" s="40" t="e">
        <f>[1]월별!#REF!</f>
        <v>#REF!</v>
      </c>
      <c r="G102" s="40" t="e">
        <f>[1]월별!#REF!</f>
        <v>#REF!</v>
      </c>
      <c r="H102" s="40" t="e">
        <f>[1]월별!#REF!</f>
        <v>#REF!</v>
      </c>
      <c r="I102" s="40" t="e">
        <f>[1]월별!#REF!</f>
        <v>#REF!</v>
      </c>
      <c r="J102" s="40" t="e">
        <f>[1]월별!#REF!</f>
        <v>#REF!</v>
      </c>
      <c r="K102" s="40" t="e">
        <f>[1]월별!#REF!</f>
        <v>#REF!</v>
      </c>
      <c r="L102" s="40" t="e">
        <f>[1]월별!#REF!</f>
        <v>#REF!</v>
      </c>
      <c r="M102" s="40" t="e">
        <f>[1]월별!#REF!</f>
        <v>#REF!</v>
      </c>
      <c r="N102" s="40" t="e">
        <f>[1]월별!#REF!</f>
        <v>#REF!</v>
      </c>
      <c r="O102" s="40" t="e">
        <f>[1]월별!#REF!</f>
        <v>#REF!</v>
      </c>
      <c r="P102" s="40" t="e">
        <f>[1]월별!#REF!</f>
        <v>#REF!</v>
      </c>
      <c r="Q102" s="45" t="e">
        <f t="shared" si="2"/>
        <v>#REF!</v>
      </c>
      <c r="R102" s="72"/>
    </row>
    <row r="103" spans="2:19" ht="24" hidden="1" customHeight="1" x14ac:dyDescent="0.25">
      <c r="B103" s="83"/>
      <c r="C103" s="84"/>
      <c r="D103" s="16" t="s">
        <v>59</v>
      </c>
      <c r="E103" s="41" t="e">
        <f>[1]월별!#REF!</f>
        <v>#REF!</v>
      </c>
      <c r="F103" s="40" t="e">
        <f>[1]월별!#REF!</f>
        <v>#REF!</v>
      </c>
      <c r="G103" s="40" t="e">
        <f>[1]월별!#REF!</f>
        <v>#REF!</v>
      </c>
      <c r="H103" s="40" t="e">
        <f>[1]월별!#REF!</f>
        <v>#REF!</v>
      </c>
      <c r="I103" s="40" t="e">
        <f>[1]월별!#REF!</f>
        <v>#REF!</v>
      </c>
      <c r="J103" s="40" t="e">
        <f>[1]월별!#REF!</f>
        <v>#REF!</v>
      </c>
      <c r="K103" s="40" t="e">
        <f>[1]월별!#REF!</f>
        <v>#REF!</v>
      </c>
      <c r="L103" s="40" t="e">
        <f>[1]월별!#REF!</f>
        <v>#REF!</v>
      </c>
      <c r="M103" s="40" t="e">
        <f>[1]월별!#REF!</f>
        <v>#REF!</v>
      </c>
      <c r="N103" s="40" t="e">
        <f>[1]월별!#REF!</f>
        <v>#REF!</v>
      </c>
      <c r="O103" s="40" t="e">
        <f>[1]월별!#REF!</f>
        <v>#REF!</v>
      </c>
      <c r="P103" s="40" t="e">
        <f>[1]월별!#REF!</f>
        <v>#REF!</v>
      </c>
      <c r="Q103" s="45" t="e">
        <f t="shared" si="2"/>
        <v>#REF!</v>
      </c>
      <c r="R103" s="72"/>
    </row>
    <row r="104" spans="2:19" ht="24" hidden="1" customHeight="1" x14ac:dyDescent="0.25">
      <c r="B104" s="83"/>
      <c r="C104" s="84"/>
      <c r="D104" s="16" t="s">
        <v>29</v>
      </c>
      <c r="E104" s="41">
        <f>[1]월별!G42</f>
        <v>36030.954322810474</v>
      </c>
      <c r="F104" s="40">
        <f>[1]월별!H42</f>
        <v>39377.719197543265</v>
      </c>
      <c r="G104" s="40">
        <f>[1]월별!I42</f>
        <v>26206.402209389908</v>
      </c>
      <c r="H104" s="40">
        <f>[1]월별!J42</f>
        <v>27170.403261539759</v>
      </c>
      <c r="I104" s="40">
        <f>[1]월별!K42</f>
        <v>30407.416246664692</v>
      </c>
      <c r="J104" s="40">
        <f>[1]월별!L42</f>
        <v>37390.676515417981</v>
      </c>
      <c r="K104" s="40">
        <f>[1]월별!M42</f>
        <v>34866.393168951283</v>
      </c>
      <c r="L104" s="40">
        <f>[1]월별!N42</f>
        <v>34306.787952950574</v>
      </c>
      <c r="M104" s="40">
        <f>[1]월별!O42</f>
        <v>26402.481692677069</v>
      </c>
      <c r="N104" s="40">
        <f>[1]월별!P42</f>
        <v>24074.618037374741</v>
      </c>
      <c r="O104" s="40">
        <f>[1]월별!Q42</f>
        <v>33011.505152317135</v>
      </c>
      <c r="P104" s="40">
        <f>[1]월별!R42</f>
        <v>34996.945966804415</v>
      </c>
      <c r="Q104" s="45">
        <f t="shared" si="2"/>
        <v>32020.191977036771</v>
      </c>
      <c r="R104" s="72"/>
    </row>
    <row r="105" spans="2:19" ht="24" hidden="1" customHeight="1" x14ac:dyDescent="0.25">
      <c r="B105" s="83"/>
      <c r="C105" s="84"/>
      <c r="D105" s="16" t="s">
        <v>30</v>
      </c>
      <c r="E105" s="41">
        <f>[1]월별!S42</f>
        <v>36461.052666387419</v>
      </c>
      <c r="F105" s="40">
        <f>[1]월별!T42</f>
        <v>33625.018148820323</v>
      </c>
      <c r="G105" s="40">
        <f>[1]월별!U42</f>
        <v>24658.888359207758</v>
      </c>
      <c r="H105" s="40">
        <f>[1]월별!V42</f>
        <v>24458.344497433471</v>
      </c>
      <c r="I105" s="40">
        <f>[1]월별!W42</f>
        <v>24505.067989311035</v>
      </c>
      <c r="J105" s="40">
        <f>[1]월별!X42</f>
        <v>33885.836314040986</v>
      </c>
      <c r="K105" s="40">
        <f>[1]월별!Y42</f>
        <v>32104.033923718489</v>
      </c>
      <c r="L105" s="40">
        <f>[1]월별!Z42</f>
        <v>34367.04969636882</v>
      </c>
      <c r="M105" s="40">
        <f>[1]월별!AA42</f>
        <v>26645.858729815365</v>
      </c>
      <c r="N105" s="40">
        <f>[1]월별!AB42</f>
        <v>27282.693624089989</v>
      </c>
      <c r="O105" s="40">
        <f>[1]월별!AC42</f>
        <v>34877.612545078809</v>
      </c>
      <c r="P105" s="40">
        <f>[1]월별!AD42</f>
        <v>35315.070718866082</v>
      </c>
      <c r="Q105" s="45">
        <f t="shared" si="2"/>
        <v>30682.210601094877</v>
      </c>
      <c r="R105" s="72"/>
    </row>
    <row r="106" spans="2:19" ht="24" hidden="1" customHeight="1" x14ac:dyDescent="0.25">
      <c r="B106" s="83"/>
      <c r="C106" s="84"/>
      <c r="D106" s="16" t="s">
        <v>31</v>
      </c>
      <c r="E106" s="41">
        <f>[1]월별!AE42</f>
        <v>32310.213973271912</v>
      </c>
      <c r="F106" s="40">
        <f>[1]월별!AF42</f>
        <v>36298.988260063619</v>
      </c>
      <c r="G106" s="40">
        <f>[1]월별!AG42</f>
        <v>29420.153371027853</v>
      </c>
      <c r="H106" s="40">
        <f>[1]월별!AH42</f>
        <v>30022.696645512238</v>
      </c>
      <c r="I106" s="40">
        <f>[1]월별!AI42</f>
        <v>27581.471769639473</v>
      </c>
      <c r="J106" s="40">
        <f>[1]월별!AJ42</f>
        <v>34312.528404038807</v>
      </c>
      <c r="K106" s="40">
        <f>[1]월별!AK42</f>
        <v>36830.349009377423</v>
      </c>
      <c r="L106" s="40">
        <f>[1]월별!AL42</f>
        <v>38651.165898385349</v>
      </c>
      <c r="M106" s="40">
        <f>[1]월별!AM42</f>
        <v>29803.6627768258</v>
      </c>
      <c r="N106" s="40">
        <f>[1]월별!AN42</f>
        <v>32846.158786606815</v>
      </c>
      <c r="O106" s="40">
        <f>[1]월별!AO42</f>
        <v>40563.926376224248</v>
      </c>
      <c r="P106" s="40">
        <f>[1]월별!AP42</f>
        <v>42839.413479727751</v>
      </c>
      <c r="Q106" s="45">
        <f t="shared" ref="Q106:Q111" si="3">AVERAGE(E106:P106)</f>
        <v>34290.060729225101</v>
      </c>
      <c r="R106" s="72"/>
    </row>
    <row r="107" spans="2:19" ht="54.75" customHeight="1" x14ac:dyDescent="0.25">
      <c r="B107" s="83"/>
      <c r="C107" s="84"/>
      <c r="D107" s="16" t="s">
        <v>32</v>
      </c>
      <c r="E107" s="34">
        <f>[1]월별!AQ42</f>
        <v>44.612608641857811</v>
      </c>
      <c r="F107" s="35">
        <f>[1]월별!AR42</f>
        <v>45.999952321024793</v>
      </c>
      <c r="G107" s="35">
        <f>[1]월별!AS42</f>
        <v>36.613333873552662</v>
      </c>
      <c r="H107" s="35">
        <f>[1]월별!AT42</f>
        <v>36.41300110870089</v>
      </c>
      <c r="I107" s="35">
        <f>[1]월별!AU42</f>
        <v>39.166291472774525</v>
      </c>
      <c r="J107" s="35">
        <f>[1]월별!AV42</f>
        <v>48.21943327992166</v>
      </c>
      <c r="K107" s="35">
        <f>[1]월별!AW42</f>
        <v>49.9647004789947</v>
      </c>
      <c r="L107" s="35">
        <f>[1]월별!AX42</f>
        <v>47.398828896387954</v>
      </c>
      <c r="M107" s="35">
        <f>[1]월별!AY42</f>
        <v>41.122714995105035</v>
      </c>
      <c r="N107" s="35">
        <f>[1]월별!AZ42</f>
        <v>41.150868758275017</v>
      </c>
      <c r="O107" s="35">
        <f>[1]월별!BA42</f>
        <v>47.77482392897948</v>
      </c>
      <c r="P107" s="35">
        <f>[1]월별!BB42</f>
        <v>52.751097906127939</v>
      </c>
      <c r="Q107" s="51">
        <f t="shared" si="3"/>
        <v>44.26563797180853</v>
      </c>
      <c r="R107" s="72"/>
    </row>
    <row r="108" spans="2:19" ht="54.75" customHeight="1" x14ac:dyDescent="0.25">
      <c r="B108" s="83"/>
      <c r="C108" s="84"/>
      <c r="D108" s="16" t="s">
        <v>33</v>
      </c>
      <c r="E108" s="34">
        <f>[1]월별!BC42</f>
        <v>51.2598452685422</v>
      </c>
      <c r="F108" s="35">
        <f>[1]월별!BD42</f>
        <v>52.237033699831457</v>
      </c>
      <c r="G108" s="52">
        <f>[1]월별!BE42</f>
        <v>44.043370369951738</v>
      </c>
      <c r="H108" s="35">
        <f>[1]월별!BF42</f>
        <v>41.2359989865842</v>
      </c>
      <c r="I108" s="35">
        <f>[1]월별!BG42</f>
        <v>41.657380206010828</v>
      </c>
      <c r="J108" s="35">
        <f>[1]월별!BH42</f>
        <v>48.707160669557638</v>
      </c>
      <c r="K108" s="35">
        <f>[1]월별!BI42</f>
        <v>49.61374140803688</v>
      </c>
      <c r="L108" s="35">
        <f>[1]월별!BJ42</f>
        <v>48.476161299189151</v>
      </c>
      <c r="M108" s="35">
        <f>[1]월별!BK42</f>
        <v>40.909059121830552</v>
      </c>
      <c r="N108" s="35">
        <f>[1]월별!BL42</f>
        <v>46.966855444969447</v>
      </c>
      <c r="O108" s="35">
        <f>[1]월별!BM42</f>
        <v>56.774406259698715</v>
      </c>
      <c r="P108" s="35">
        <f>[1]월별!BN42</f>
        <v>60.172416567124152</v>
      </c>
      <c r="Q108" s="51">
        <f t="shared" si="3"/>
        <v>48.504452441777254</v>
      </c>
      <c r="R108" s="72"/>
    </row>
    <row r="109" spans="2:19" ht="54.75" customHeight="1" x14ac:dyDescent="0.25">
      <c r="B109" s="83"/>
      <c r="C109" s="84"/>
      <c r="D109" s="16" t="s">
        <v>34</v>
      </c>
      <c r="E109" s="34">
        <f>[1]월별!BO42</f>
        <v>58.391077791672345</v>
      </c>
      <c r="F109" s="35">
        <f>[1]월별!BP42</f>
        <v>58.316112527347556</v>
      </c>
      <c r="G109" s="35">
        <f>[1]월별!BQ42</f>
        <v>48.129447072931427</v>
      </c>
      <c r="H109" s="35">
        <f>[1]월별!BR42</f>
        <v>47.984239459091569</v>
      </c>
      <c r="I109" s="35">
        <f>[1]월별!BS42</f>
        <v>46.694732246299075</v>
      </c>
      <c r="J109" s="35">
        <f>[1]월별!BT42</f>
        <v>55.169149711260268</v>
      </c>
      <c r="K109" s="35">
        <f>[1]월별!BU42</f>
        <v>59.154904757068458</v>
      </c>
      <c r="L109" s="35">
        <f>[1]월별!BV42</f>
        <v>63.068877850738922</v>
      </c>
      <c r="M109" s="35">
        <f>[1]월별!BW42</f>
        <v>51.301822441725797</v>
      </c>
      <c r="N109" s="35">
        <f>[1]월별!BX42</f>
        <v>53.162075631399148</v>
      </c>
      <c r="O109" s="35">
        <f>[1]월별!BY42</f>
        <v>62.679909281815284</v>
      </c>
      <c r="P109" s="55">
        <f>[1]월별!BZ42</f>
        <v>66.366239344796341</v>
      </c>
      <c r="Q109" s="51">
        <f t="shared" si="3"/>
        <v>55.868215676345521</v>
      </c>
      <c r="R109" s="72"/>
    </row>
    <row r="110" spans="2:19" ht="54.75" customHeight="1" x14ac:dyDescent="0.25">
      <c r="B110" s="83"/>
      <c r="C110" s="84"/>
      <c r="D110" s="16" t="s">
        <v>35</v>
      </c>
      <c r="E110" s="34">
        <f>[1]월별!CA42</f>
        <v>66.198312734497094</v>
      </c>
      <c r="F110" s="35">
        <f>[1]월별!CB42</f>
        <v>65.644402613034671</v>
      </c>
      <c r="G110" s="35">
        <f>(G23*1000000)/(G63*1000)</f>
        <v>53.314394636557068</v>
      </c>
      <c r="H110" s="60">
        <f>53027.8026512135/1000</f>
        <v>53.027802651213499</v>
      </c>
      <c r="I110" s="35"/>
      <c r="J110" s="35"/>
      <c r="K110" s="35"/>
      <c r="L110" s="35"/>
      <c r="M110" s="35"/>
      <c r="N110" s="35"/>
      <c r="O110" s="35"/>
      <c r="P110" s="35"/>
      <c r="Q110" s="51">
        <f t="shared" si="3"/>
        <v>59.546228158825585</v>
      </c>
      <c r="R110" s="73"/>
    </row>
    <row r="111" spans="2:19" hidden="1" x14ac:dyDescent="0.25">
      <c r="E111" s="7">
        <v>31652</v>
      </c>
      <c r="F111" s="7">
        <v>32928</v>
      </c>
      <c r="G111" s="7">
        <v>24785</v>
      </c>
      <c r="H111" s="7">
        <v>24802</v>
      </c>
      <c r="I111" s="7">
        <v>25180</v>
      </c>
      <c r="J111" s="7">
        <v>24448</v>
      </c>
      <c r="K111" s="8">
        <v>32171</v>
      </c>
      <c r="L111" s="8">
        <v>30142</v>
      </c>
      <c r="M111" s="8">
        <v>24821</v>
      </c>
      <c r="N111" s="7">
        <v>23783</v>
      </c>
      <c r="O111" s="7">
        <v>32584</v>
      </c>
      <c r="P111" s="7">
        <v>32676</v>
      </c>
      <c r="Q111" s="9">
        <f t="shared" si="3"/>
        <v>28331</v>
      </c>
    </row>
    <row r="112" spans="2:19" s="2" customFormat="1" hidden="1" x14ac:dyDescent="0.25">
      <c r="E112" s="7"/>
      <c r="F112" s="2" t="e">
        <f>+F97/F95</f>
        <v>#REF!</v>
      </c>
      <c r="G112" s="2" t="e">
        <f t="shared" ref="G112:N112" si="4">+G97/G95</f>
        <v>#REF!</v>
      </c>
      <c r="H112" s="2" t="e">
        <f t="shared" si="4"/>
        <v>#REF!</v>
      </c>
      <c r="I112" s="2" t="e">
        <f t="shared" si="4"/>
        <v>#REF!</v>
      </c>
      <c r="J112" s="2" t="e">
        <f t="shared" si="4"/>
        <v>#REF!</v>
      </c>
      <c r="K112" s="2" t="e">
        <f t="shared" si="4"/>
        <v>#REF!</v>
      </c>
      <c r="L112" s="2" t="e">
        <f t="shared" si="4"/>
        <v>#REF!</v>
      </c>
      <c r="M112" s="2" t="e">
        <f t="shared" si="4"/>
        <v>#REF!</v>
      </c>
      <c r="N112" s="2" t="e">
        <f t="shared" si="4"/>
        <v>#REF!</v>
      </c>
      <c r="O112" s="7"/>
      <c r="P112" s="7"/>
      <c r="Q112" s="9"/>
    </row>
    <row r="113" spans="5:16" s="2" customFormat="1" hidden="1" x14ac:dyDescent="0.25">
      <c r="E113" s="2" t="e">
        <f>+#REF!/E97</f>
        <v>#REF!</v>
      </c>
      <c r="F113" s="2" t="e">
        <f>+#REF!/F97</f>
        <v>#REF!</v>
      </c>
      <c r="G113" s="2" t="e">
        <f>+#REF!/G97</f>
        <v>#REF!</v>
      </c>
      <c r="H113" s="2" t="e">
        <f>+#REF!/H97</f>
        <v>#REF!</v>
      </c>
      <c r="I113" s="2" t="e">
        <f>+#REF!/I97</f>
        <v>#REF!</v>
      </c>
      <c r="J113" s="2" t="e">
        <f>+#REF!/J97</f>
        <v>#REF!</v>
      </c>
      <c r="K113" s="2" t="e">
        <f>+#REF!/K97</f>
        <v>#REF!</v>
      </c>
      <c r="L113" s="2" t="e">
        <f>+#REF!/L97</f>
        <v>#REF!</v>
      </c>
      <c r="M113" s="2" t="e">
        <f>+#REF!/M97</f>
        <v>#REF!</v>
      </c>
      <c r="N113" s="2" t="e">
        <f>+#REF!/N97</f>
        <v>#REF!</v>
      </c>
      <c r="O113" s="1"/>
      <c r="P113" s="1"/>
    </row>
    <row r="114" spans="5:16" s="2" customFormat="1" hidden="1" x14ac:dyDescent="0.25">
      <c r="N114" s="1"/>
      <c r="O114" s="1"/>
      <c r="P114" s="10"/>
    </row>
    <row r="115" spans="5:16" s="2" customFormat="1" hidden="1" x14ac:dyDescent="0.25">
      <c r="F115" s="2" t="e">
        <f>+#REF!/F89</f>
        <v>#REF!</v>
      </c>
      <c r="G115" s="2" t="e">
        <f>+#REF!/G89</f>
        <v>#REF!</v>
      </c>
      <c r="H115" s="2" t="e">
        <f>+#REF!/H89</f>
        <v>#REF!</v>
      </c>
      <c r="I115" s="2" t="e">
        <f>+#REF!/I89</f>
        <v>#REF!</v>
      </c>
      <c r="J115" s="2" t="e">
        <f>+#REF!/J89</f>
        <v>#REF!</v>
      </c>
      <c r="K115" s="2" t="e">
        <f>+#REF!/K89</f>
        <v>#REF!</v>
      </c>
      <c r="N115" s="1"/>
      <c r="O115" s="1"/>
      <c r="P115" s="1"/>
    </row>
    <row r="116" spans="5:16" s="2" customFormat="1" hidden="1" x14ac:dyDescent="0.25">
      <c r="N116" s="1"/>
      <c r="O116" s="1"/>
      <c r="P116" s="1"/>
    </row>
    <row r="123" spans="5:16" ht="25.2" x14ac:dyDescent="0.25">
      <c r="G123" s="59"/>
    </row>
  </sheetData>
  <mergeCells count="122">
    <mergeCell ref="B1:Q1"/>
    <mergeCell ref="B2:B3"/>
    <mergeCell ref="C2:C3"/>
    <mergeCell ref="D2:D3"/>
    <mergeCell ref="E2:E3"/>
    <mergeCell ref="F2:F3"/>
    <mergeCell ref="G2:G3"/>
    <mergeCell ref="H2:H3"/>
    <mergeCell ref="I2:I3"/>
    <mergeCell ref="B64:B83"/>
    <mergeCell ref="C64:C83"/>
    <mergeCell ref="B84:B110"/>
    <mergeCell ref="C84:C110"/>
    <mergeCell ref="B24:B43"/>
    <mergeCell ref="C24:C43"/>
    <mergeCell ref="B44:B63"/>
    <mergeCell ref="C59:C63"/>
    <mergeCell ref="P2:P3"/>
    <mergeCell ref="B4:B23"/>
    <mergeCell ref="C4:C23"/>
    <mergeCell ref="J2:J3"/>
    <mergeCell ref="K2:K3"/>
    <mergeCell ref="L2:L3"/>
    <mergeCell ref="M2:M3"/>
    <mergeCell ref="N2:N3"/>
    <mergeCell ref="O2:O3"/>
    <mergeCell ref="J85:J86"/>
    <mergeCell ref="K85:K86"/>
    <mergeCell ref="L85:L86"/>
    <mergeCell ref="M85:M86"/>
    <mergeCell ref="N85:N86"/>
    <mergeCell ref="P85:P86"/>
    <mergeCell ref="D85:D86"/>
    <mergeCell ref="E85:E86"/>
    <mergeCell ref="F85:F86"/>
    <mergeCell ref="G85:G86"/>
    <mergeCell ref="H85:H86"/>
    <mergeCell ref="I85:I86"/>
    <mergeCell ref="N89:N90"/>
    <mergeCell ref="O89:O90"/>
    <mergeCell ref="P89:P90"/>
    <mergeCell ref="Q87:Q88"/>
    <mergeCell ref="N87:N88"/>
    <mergeCell ref="O87:O88"/>
    <mergeCell ref="P87:P88"/>
    <mergeCell ref="J87:J88"/>
    <mergeCell ref="L87:L88"/>
    <mergeCell ref="M87:M88"/>
    <mergeCell ref="D87:D88"/>
    <mergeCell ref="E87:E88"/>
    <mergeCell ref="F87:F88"/>
    <mergeCell ref="G87:G88"/>
    <mergeCell ref="H87:H88"/>
    <mergeCell ref="I87:I88"/>
    <mergeCell ref="D91:D92"/>
    <mergeCell ref="E91:E92"/>
    <mergeCell ref="F91:F92"/>
    <mergeCell ref="G91:G92"/>
    <mergeCell ref="H91:H92"/>
    <mergeCell ref="I91:I92"/>
    <mergeCell ref="J89:J90"/>
    <mergeCell ref="K89:K90"/>
    <mergeCell ref="M89:M90"/>
    <mergeCell ref="J91:J92"/>
    <mergeCell ref="K91:K92"/>
    <mergeCell ref="M91:M92"/>
    <mergeCell ref="D89:D90"/>
    <mergeCell ref="E89:E90"/>
    <mergeCell ref="F89:F90"/>
    <mergeCell ref="G89:G90"/>
    <mergeCell ref="H89:H90"/>
    <mergeCell ref="I89:I90"/>
    <mergeCell ref="O97:O98"/>
    <mergeCell ref="D97:D98"/>
    <mergeCell ref="E97:E98"/>
    <mergeCell ref="F97:F98"/>
    <mergeCell ref="G97:G98"/>
    <mergeCell ref="H97:H98"/>
    <mergeCell ref="I97:I98"/>
    <mergeCell ref="P97:P98"/>
    <mergeCell ref="Q97:Q98"/>
    <mergeCell ref="D93:D94"/>
    <mergeCell ref="E93:E94"/>
    <mergeCell ref="F93:F94"/>
    <mergeCell ref="G93:G94"/>
    <mergeCell ref="J97:J98"/>
    <mergeCell ref="K97:K98"/>
    <mergeCell ref="L97:L98"/>
    <mergeCell ref="M97:M98"/>
    <mergeCell ref="N97:N98"/>
    <mergeCell ref="G95:G96"/>
    <mergeCell ref="H95:H96"/>
    <mergeCell ref="I95:I96"/>
    <mergeCell ref="J95:J96"/>
    <mergeCell ref="K95:K96"/>
    <mergeCell ref="L95:L96"/>
    <mergeCell ref="M95:M96"/>
    <mergeCell ref="K93:K94"/>
    <mergeCell ref="M93:M94"/>
    <mergeCell ref="H93:H94"/>
    <mergeCell ref="I93:I94"/>
    <mergeCell ref="J93:J94"/>
    <mergeCell ref="N95:N96"/>
    <mergeCell ref="D95:D96"/>
    <mergeCell ref="F95:F96"/>
    <mergeCell ref="R2:R3"/>
    <mergeCell ref="R20:R23"/>
    <mergeCell ref="R40:R43"/>
    <mergeCell ref="R60:R63"/>
    <mergeCell ref="Q89:Q90"/>
    <mergeCell ref="Q85:Q86"/>
    <mergeCell ref="Q2:Q3"/>
    <mergeCell ref="N93:N94"/>
    <mergeCell ref="O93:O94"/>
    <mergeCell ref="P93:P94"/>
    <mergeCell ref="Q93:Q94"/>
    <mergeCell ref="R80:R110"/>
    <mergeCell ref="N91:N92"/>
    <mergeCell ref="O91:O92"/>
    <mergeCell ref="Q91:Q92"/>
    <mergeCell ref="P95:P96"/>
    <mergeCell ref="Q95:Q96"/>
  </mergeCells>
  <phoneticPr fontId="2" type="noConversion"/>
  <pageMargins left="0.51181102362204722" right="0.11811023622047245" top="0.47244094488188981" bottom="0.15748031496062992" header="0.15748031496062992" footer="0.15748031496062992"/>
  <pageSetup paperSize="9" scale="38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19" workbookViewId="0">
      <selection activeCell="F71" sqref="F71"/>
    </sheetView>
  </sheetViews>
  <sheetFormatPr defaultColWidth="8.8984375" defaultRowHeight="14.4" x14ac:dyDescent="0.25"/>
  <cols>
    <col min="1" max="16384" width="8.8984375" style="58"/>
  </cols>
  <sheetData/>
  <phoneticPr fontId="2" type="noConversion"/>
  <pageMargins left="0.7" right="0.7" top="0.75" bottom="0.75" header="0.3" footer="0.3"/>
  <pageSetup paperSize="9" scale="82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전력비</vt:lpstr>
      <vt:lpstr>26년개편안</vt:lpstr>
      <vt:lpstr>전력비!Print_Area</vt:lpstr>
      <vt:lpstr>전력비!Print_Titles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</cp:lastModifiedBy>
  <cp:lastPrinted>2026-03-17T02:26:52Z</cp:lastPrinted>
  <dcterms:created xsi:type="dcterms:W3CDTF">2026-03-16T07:30:44Z</dcterms:created>
  <dcterms:modified xsi:type="dcterms:W3CDTF">2026-05-11T11:15:26Z</dcterms:modified>
</cp:coreProperties>
</file>