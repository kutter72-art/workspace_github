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\Desktop\정민훈\월 마감자료\26년 기안보고_생산_보전_안전보건\기안보고_2026\April\"/>
    </mc:Choice>
  </mc:AlternateContent>
  <bookViews>
    <workbookView xWindow="0" yWindow="0" windowWidth="16380" windowHeight="8196" tabRatio="500"/>
  </bookViews>
  <sheets>
    <sheet name="증감분석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4" i="1" l="1"/>
  <c r="I44" i="1"/>
  <c r="J44" i="1"/>
  <c r="G44" i="1"/>
  <c r="F44" i="1"/>
  <c r="G43" i="1"/>
  <c r="H43" i="1"/>
  <c r="I43" i="1"/>
  <c r="J43" i="1"/>
  <c r="F43" i="1"/>
  <c r="G36" i="1"/>
  <c r="H36" i="1"/>
  <c r="I36" i="1"/>
  <c r="J36" i="1"/>
  <c r="F36" i="1"/>
  <c r="J45" i="1"/>
  <c r="C44" i="1"/>
  <c r="J42" i="1"/>
  <c r="I42" i="1"/>
  <c r="H42" i="1"/>
  <c r="I41" i="1"/>
  <c r="H41" i="1"/>
  <c r="J41" i="1" s="1"/>
  <c r="I40" i="1"/>
  <c r="H40" i="1"/>
  <c r="J40" i="1" s="1"/>
  <c r="J39" i="1"/>
  <c r="I39" i="1"/>
  <c r="H39" i="1"/>
  <c r="I38" i="1"/>
  <c r="H38" i="1"/>
  <c r="J38" i="1" s="1"/>
  <c r="I35" i="1"/>
  <c r="H35" i="1"/>
  <c r="J35" i="1" s="1"/>
  <c r="I34" i="1"/>
  <c r="H34" i="1"/>
  <c r="J34" i="1" s="1"/>
  <c r="I33" i="1"/>
  <c r="H33" i="1"/>
  <c r="J33" i="1" s="1"/>
  <c r="J32" i="1"/>
  <c r="I32" i="1"/>
  <c r="H32" i="1"/>
  <c r="I31" i="1"/>
  <c r="H31" i="1"/>
  <c r="J31" i="1" s="1"/>
  <c r="I30" i="1"/>
  <c r="H30" i="1"/>
  <c r="J30" i="1" s="1"/>
  <c r="J29" i="1"/>
  <c r="I29" i="1"/>
  <c r="H29" i="1"/>
  <c r="I28" i="1"/>
  <c r="H28" i="1"/>
  <c r="J28" i="1" s="1"/>
  <c r="I27" i="1"/>
  <c r="H27" i="1"/>
  <c r="J27" i="1" s="1"/>
  <c r="I26" i="1"/>
  <c r="H26" i="1"/>
  <c r="J26" i="1" s="1"/>
  <c r="I25" i="1"/>
  <c r="H25" i="1"/>
  <c r="J25" i="1" s="1"/>
  <c r="J24" i="1"/>
  <c r="I24" i="1"/>
  <c r="H24" i="1"/>
  <c r="I23" i="1"/>
  <c r="H23" i="1"/>
  <c r="J23" i="1" s="1"/>
  <c r="I22" i="1"/>
  <c r="H22" i="1"/>
  <c r="J22" i="1" s="1"/>
  <c r="J21" i="1"/>
  <c r="I21" i="1"/>
  <c r="H21" i="1"/>
  <c r="I20" i="1"/>
  <c r="H20" i="1"/>
  <c r="I18" i="1"/>
  <c r="E18" i="1"/>
  <c r="J18" i="1" s="1"/>
  <c r="I17" i="1"/>
  <c r="E17" i="1"/>
  <c r="J17" i="1" s="1"/>
  <c r="I16" i="1"/>
  <c r="E16" i="1"/>
  <c r="J16" i="1" s="1"/>
  <c r="J15" i="1"/>
  <c r="I15" i="1"/>
  <c r="E15" i="1"/>
  <c r="I14" i="1"/>
  <c r="E14" i="1"/>
  <c r="J14" i="1" s="1"/>
  <c r="I13" i="1"/>
  <c r="E13" i="1"/>
  <c r="J13" i="1" s="1"/>
  <c r="J12" i="1"/>
  <c r="I12" i="1"/>
  <c r="E12" i="1"/>
  <c r="I11" i="1"/>
  <c r="E11" i="1"/>
  <c r="J11" i="1" s="1"/>
  <c r="I10" i="1"/>
  <c r="E10" i="1"/>
  <c r="J10" i="1" s="1"/>
  <c r="I9" i="1"/>
  <c r="E9" i="1"/>
  <c r="J9" i="1" s="1"/>
  <c r="I8" i="1"/>
  <c r="E8" i="1"/>
  <c r="J8" i="1" s="1"/>
  <c r="J7" i="1"/>
  <c r="I7" i="1"/>
  <c r="E7" i="1"/>
  <c r="I6" i="1"/>
  <c r="E6" i="1"/>
  <c r="J6" i="1" s="1"/>
  <c r="I5" i="1"/>
  <c r="E5" i="1"/>
  <c r="J5" i="1" s="1"/>
  <c r="J4" i="1"/>
  <c r="I4" i="1"/>
  <c r="E4" i="1"/>
  <c r="E44" i="1" l="1"/>
  <c r="J20" i="1"/>
</calcChain>
</file>

<file path=xl/sharedStrings.xml><?xml version="1.0" encoding="utf-8"?>
<sst xmlns="http://schemas.openxmlformats.org/spreadsheetml/2006/main" count="166" uniqueCount="124">
  <si>
    <t>품목 정보</t>
  </si>
  <si>
    <t>증감 분석</t>
  </si>
  <si>
    <t>이용용도</t>
  </si>
  <si>
    <t>품명</t>
  </si>
  <si>
    <t>규격</t>
  </si>
  <si>
    <t>수량</t>
  </si>
  <si>
    <t>수량증감</t>
  </si>
  <si>
    <t>비고</t>
  </si>
  <si>
    <t>원피스 회색</t>
  </si>
  <si>
    <t>미구매</t>
  </si>
  <si>
    <t>백부싱</t>
  </si>
  <si>
    <t>30mm</t>
  </si>
  <si>
    <t>배관 피팅 연결부 보호</t>
  </si>
  <si>
    <t>25mm</t>
  </si>
  <si>
    <t>배관 단말 연결용 니플</t>
  </si>
  <si>
    <t>산소절단기</t>
  </si>
  <si>
    <t>스텐용접이경</t>
  </si>
  <si>
    <t>40/50</t>
  </si>
  <si>
    <t>스텐 배관 용접 이경 연결</t>
  </si>
  <si>
    <t>스텐 후렌치</t>
  </si>
  <si>
    <t>40</t>
  </si>
  <si>
    <t>스텐 배관 플랜지 결합</t>
  </si>
  <si>
    <t>50mm</t>
  </si>
  <si>
    <t>배관 연장 연결용 니플</t>
  </si>
  <si>
    <t>후렌지용 고무</t>
  </si>
  <si>
    <t>플랜지 접합부 기밀 패킹</t>
  </si>
  <si>
    <t>금긁기바늘</t>
  </si>
  <si>
    <t>활동볼밸브</t>
  </si>
  <si>
    <t>유체 배관 개폐 제어</t>
  </si>
  <si>
    <t>산소바늘</t>
  </si>
  <si>
    <t>220W-200K</t>
  </si>
  <si>
    <t>롤로우즈그립</t>
  </si>
  <si>
    <t>6LN</t>
  </si>
  <si>
    <t>18"(450mm)</t>
  </si>
  <si>
    <t>대형 파이프 체결 및 분해</t>
  </si>
  <si>
    <t>4"</t>
  </si>
  <si>
    <t>신규</t>
  </si>
  <si>
    <t>그라인더 컵브러쉬 교체용</t>
  </si>
  <si>
    <t>HP-156K</t>
  </si>
  <si>
    <t>스파이럴</t>
  </si>
  <si>
    <t>20V-5.0</t>
  </si>
  <si>
    <t>충전임팩용 배터리 교체</t>
  </si>
  <si>
    <t>충전기</t>
  </si>
  <si>
    <t>DCB100</t>
  </si>
  <si>
    <t>충전임팩용 충전기 교체</t>
  </si>
  <si>
    <t>대경철망</t>
  </si>
  <si>
    <t>탱크롤리 축소 망 교체</t>
  </si>
  <si>
    <t>석필</t>
  </si>
  <si>
    <t>각</t>
  </si>
  <si>
    <t>자화기</t>
  </si>
  <si>
    <t>피스 고정용 자화 도구</t>
  </si>
  <si>
    <t>고리자석</t>
  </si>
  <si>
    <t>16</t>
  </si>
  <si>
    <t>수리 중 작업 표지용 고리자석</t>
  </si>
  <si>
    <t>스큐류볼트</t>
  </si>
  <si>
    <t>14+20mm</t>
  </si>
  <si>
    <t>천막 고정 피스 체결</t>
  </si>
  <si>
    <t>락카</t>
  </si>
  <si>
    <t>연회색</t>
  </si>
  <si>
    <t>투명</t>
  </si>
  <si>
    <t>5"</t>
  </si>
  <si>
    <t>백엘보</t>
  </si>
  <si>
    <t>40KG</t>
  </si>
  <si>
    <t>125mm×4M</t>
  </si>
  <si>
    <t>125mm</t>
  </si>
  <si>
    <t>우수관 수도관 엘보 교체</t>
  </si>
  <si>
    <t>125</t>
  </si>
  <si>
    <t>우수관 자비쇠 스텐 교체</t>
  </si>
  <si>
    <t>8"</t>
  </si>
  <si>
    <t>리프트 경첩 용접 수리</t>
  </si>
  <si>
    <t>3월 구매</t>
  </si>
  <si>
    <t>4월 구매</t>
  </si>
  <si>
    <t>단가(원)</t>
  </si>
  <si>
    <t>금액(원)</t>
  </si>
  <si>
    <t>금액증감(원)</t>
  </si>
  <si>
    <t>방진복/타이벡</t>
  </si>
  <si>
    <t>작업자 안전보호 (분진·이물 차단)</t>
  </si>
  <si>
    <t>백니플(단니플)</t>
  </si>
  <si>
    <t>중형 435MM(D)</t>
  </si>
  <si>
    <t>금속 파이프·철판 절단 작업</t>
  </si>
  <si>
    <t>백니플(장니플)</t>
  </si>
  <si>
    <t>금속 표면 마킹·스크라이빙</t>
  </si>
  <si>
    <t>산소바늘+샴</t>
  </si>
  <si>
    <t>TC-1 (대-A형)</t>
  </si>
  <si>
    <t>산소 호스 연결 (대형)</t>
  </si>
  <si>
    <t>TC-2S(중-B형)</t>
  </si>
  <si>
    <t>산소 호스 연결 (중형)</t>
  </si>
  <si>
    <t>드라이버(전동)</t>
  </si>
  <si>
    <t>설비 볼트·너트 체결 및 분해</t>
  </si>
  <si>
    <t>배관·볼트 파지 및 조임 작업</t>
  </si>
  <si>
    <t>파이프렌치(손)</t>
  </si>
  <si>
    <t>컵브러쉬(반컵형)</t>
  </si>
  <si>
    <t>유흡착제+3m</t>
  </si>
  <si>
    <t>유분·기름 오염 흡착 청소</t>
  </si>
  <si>
    <t>댐퍼/125</t>
  </si>
  <si>
    <t>배관자재 (덕트 연결 스파이럴)</t>
  </si>
  <si>
    <t>마킹용 석필 (금속 표면 표시)</t>
  </si>
  <si>
    <t>시설물 도장 (천막·구조물 페인트)</t>
  </si>
  <si>
    <t>실리콘(누리)</t>
  </si>
  <si>
    <t>천막·지붕 누수 실링 수리</t>
  </si>
  <si>
    <t>절단석+에이스</t>
  </si>
  <si>
    <t>그라인더 절단 작업 (4" 디스크)</t>
  </si>
  <si>
    <t>그라인더 절단 작업 (5" 디스크)</t>
  </si>
  <si>
    <t>망치(동망치)</t>
  </si>
  <si>
    <t>(20호)1.5kg</t>
  </si>
  <si>
    <t>스큐류 볼트 분해·체결 작업</t>
  </si>
  <si>
    <t>배관자재 (50mm 엘보 연결)</t>
  </si>
  <si>
    <t>레미탈(몰탈)</t>
  </si>
  <si>
    <t>심정홀 메꿈 보수 (몰탈)</t>
  </si>
  <si>
    <t>PVC파이프(A)</t>
  </si>
  <si>
    <t>우수관 PVC 파이프 교체</t>
  </si>
  <si>
    <t>PVC+수도관+엘보</t>
  </si>
  <si>
    <t>자비쇠+스텐</t>
  </si>
  <si>
    <t>경첩(용접)</t>
  </si>
  <si>
    <t>※ 3월 NEGO 적용 금액 (공급자 합의 할인)</t>
  </si>
  <si>
    <t>【범례】 신규: 4월 신규항목  |  미구매: 3월 구매→4월 미구매  |  증가: 수량(+)  |  감소: 수량(-)  |  동일: 수량동일</t>
  </si>
  <si>
    <t>▶ 3월 소계(1,023,900원)는 정가 기준이며, NEGO 합의 후 최종 지급액은 980,000원임  |  4월 총구매액: 971,500원이며 최종 합의 금액은 950,000원임</t>
  </si>
  <si>
    <r>
      <rPr>
        <sz val="12"/>
        <rFont val="맑은 고딕"/>
        <family val="2"/>
      </rPr>
      <t>보전팀 설비보수용 소모성 자재 구매 증감분석 (3월 → 4월)</t>
    </r>
  </si>
  <si>
    <t>◆ 수선용</t>
    <phoneticPr fontId="1" type="noConversion"/>
  </si>
  <si>
    <t>합   계</t>
    <phoneticPr fontId="1" type="noConversion"/>
  </si>
  <si>
    <t>◆ 소모품</t>
    <phoneticPr fontId="1" type="noConversion"/>
  </si>
  <si>
    <t>소모품 소계</t>
    <phoneticPr fontId="1" type="noConversion"/>
  </si>
  <si>
    <t>수선용 소계</t>
    <phoneticPr fontId="1" type="noConversion"/>
  </si>
  <si>
    <t>디월트 배터리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</si>
</sst>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+#,##0;\-#,##0;\-"/>
  </numFmts>
  <fonts count="9">
    <font>
      <sz val="11"/>
      <color theme="1"/>
      <name val="Calibri"/>
      <family val="2"/>
      <charset val="1"/>
    </font>
    <font>
      <sz val="8"/>
      <name val="돋움체"/>
      <family val="3"/>
      <charset val="129"/>
    </font>
    <font>
      <sz val="12"/>
      <name val="맑은 고딕"/>
      <family val="2"/>
      <charset val="129"/>
    </font>
    <font>
      <sz val="12"/>
      <name val="맑은 고딕"/>
      <family val="2"/>
    </font>
    <font>
      <sz val="11"/>
      <name val="맑은 고딕"/>
      <family val="2"/>
    </font>
    <font>
      <sz val="10"/>
      <name val="맑은 고딕"/>
      <family val="2"/>
    </font>
    <font>
      <b/>
      <sz val="10"/>
      <name val="맑은 고딕"/>
      <family val="2"/>
      <charset val="129"/>
    </font>
    <font>
      <b/>
      <sz val="10"/>
      <name val="맑은 고딕"/>
      <family val="2"/>
    </font>
    <font>
      <sz val="1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medium">
        <color auto="1"/>
      </right>
      <top style="hair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0" borderId="0" xfId="0" applyFont="1" applyFill="1"/>
    <xf numFmtId="0" fontId="5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3" fontId="5" fillId="0" borderId="9" xfId="0" applyNumberFormat="1" applyFont="1" applyFill="1" applyBorder="1" applyAlignment="1">
      <alignment horizontal="center" vertical="center" wrapText="1"/>
    </xf>
    <xf numFmtId="176" fontId="5" fillId="0" borderId="9" xfId="0" applyNumberFormat="1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left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3" fontId="5" fillId="0" borderId="23" xfId="0" applyNumberFormat="1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3" fontId="7" fillId="0" borderId="23" xfId="0" applyNumberFormat="1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176" fontId="7" fillId="0" borderId="23" xfId="0" applyNumberFormat="1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left" vertical="center" wrapText="1"/>
    </xf>
    <xf numFmtId="0" fontId="5" fillId="3" borderId="25" xfId="0" applyFont="1" applyFill="1" applyBorder="1" applyAlignment="1">
      <alignment horizontal="center" vertical="center" wrapText="1"/>
    </xf>
    <xf numFmtId="3" fontId="5" fillId="3" borderId="25" xfId="0" applyNumberFormat="1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left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left" vertical="center" wrapText="1"/>
    </xf>
    <xf numFmtId="0" fontId="5" fillId="4" borderId="25" xfId="0" applyFont="1" applyFill="1" applyBorder="1" applyAlignment="1">
      <alignment horizontal="center" vertical="center" wrapText="1"/>
    </xf>
    <xf numFmtId="3" fontId="5" fillId="4" borderId="25" xfId="0" applyNumberFormat="1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center" vertical="center" wrapText="1"/>
    </xf>
    <xf numFmtId="3" fontId="5" fillId="3" borderId="9" xfId="0" applyNumberFormat="1" applyFont="1" applyFill="1" applyBorder="1" applyAlignment="1">
      <alignment horizontal="center" vertical="center" wrapText="1"/>
    </xf>
    <xf numFmtId="176" fontId="5" fillId="3" borderId="9" xfId="0" applyNumberFormat="1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 wrapText="1"/>
    </xf>
    <xf numFmtId="3" fontId="5" fillId="3" borderId="6" xfId="0" applyNumberFormat="1" applyFont="1" applyFill="1" applyBorder="1" applyAlignment="1">
      <alignment horizontal="center" vertical="center" wrapText="1"/>
    </xf>
    <xf numFmtId="176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center" vertical="center" wrapText="1"/>
    </xf>
    <xf numFmtId="3" fontId="5" fillId="3" borderId="12" xfId="0" applyNumberFormat="1" applyFont="1" applyFill="1" applyBorder="1" applyAlignment="1">
      <alignment horizontal="center" vertical="center" wrapText="1"/>
    </xf>
    <xf numFmtId="176" fontId="5" fillId="3" borderId="12" xfId="0" applyNumberFormat="1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 wrapText="1"/>
    </xf>
    <xf numFmtId="3" fontId="5" fillId="4" borderId="6" xfId="0" applyNumberFormat="1" applyFont="1" applyFill="1" applyBorder="1" applyAlignment="1">
      <alignment horizontal="center" vertical="center" wrapText="1"/>
    </xf>
    <xf numFmtId="176" fontId="5" fillId="4" borderId="6" xfId="0" applyNumberFormat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center" vertical="center" wrapText="1"/>
    </xf>
    <xf numFmtId="3" fontId="5" fillId="4" borderId="9" xfId="0" applyNumberFormat="1" applyFont="1" applyFill="1" applyBorder="1" applyAlignment="1">
      <alignment horizontal="center" vertical="center" wrapText="1"/>
    </xf>
    <xf numFmtId="176" fontId="5" fillId="4" borderId="9" xfId="0" applyNumberFormat="1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center" vertical="center" wrapText="1"/>
    </xf>
    <xf numFmtId="3" fontId="5" fillId="4" borderId="12" xfId="0" applyNumberFormat="1" applyFont="1" applyFill="1" applyBorder="1" applyAlignment="1">
      <alignment horizontal="center" vertical="center" wrapText="1"/>
    </xf>
    <xf numFmtId="176" fontId="5" fillId="4" borderId="12" xfId="0" applyNumberFormat="1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5B00"/>
      <rgbColor rgb="FF800080"/>
      <rgbColor rgb="FF008080"/>
      <rgbColor rgb="FFD9D9D9"/>
      <rgbColor rgb="FF808080"/>
      <rgbColor rgb="FF9999FF"/>
      <rgbColor rgb="FF993366"/>
      <rgbColor rgb="FFFFF2CC"/>
      <rgbColor rgb="FFDEEAF1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D9E1F2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tabSelected="1" zoomScaleNormal="100" workbookViewId="0">
      <selection activeCell="N9" sqref="N9"/>
    </sheetView>
  </sheetViews>
  <sheetFormatPr defaultColWidth="8.6640625" defaultRowHeight="17.399999999999999"/>
  <cols>
    <col min="1" max="1" width="22" style="1" customWidth="1"/>
    <col min="2" max="2" width="16" style="1" customWidth="1"/>
    <col min="3" max="3" width="8" style="1" customWidth="1"/>
    <col min="4" max="4" width="12" style="1" customWidth="1"/>
    <col min="5" max="5" width="10" style="1" customWidth="1"/>
    <col min="6" max="6" width="8" style="1" customWidth="1"/>
    <col min="7" max="7" width="12" style="1" customWidth="1"/>
    <col min="8" max="8" width="10" style="1" customWidth="1"/>
    <col min="9" max="9" width="9.109375" style="1" customWidth="1"/>
    <col min="10" max="10" width="12" style="1" customWidth="1"/>
    <col min="11" max="11" width="10" style="1" customWidth="1"/>
    <col min="12" max="12" width="30.6640625" style="1" customWidth="1"/>
    <col min="13" max="16384" width="8.6640625" style="1"/>
  </cols>
  <sheetData>
    <row r="1" spans="1:12" ht="26.25" customHeight="1" thickBot="1">
      <c r="A1" s="7" t="s">
        <v>117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2.5" customHeight="1">
      <c r="A2" s="28" t="s">
        <v>0</v>
      </c>
      <c r="B2" s="29"/>
      <c r="C2" s="29" t="s">
        <v>70</v>
      </c>
      <c r="D2" s="29"/>
      <c r="E2" s="29"/>
      <c r="F2" s="29" t="s">
        <v>71</v>
      </c>
      <c r="G2" s="29"/>
      <c r="H2" s="29"/>
      <c r="I2" s="29" t="s">
        <v>1</v>
      </c>
      <c r="J2" s="29"/>
      <c r="K2" s="29"/>
      <c r="L2" s="30" t="s">
        <v>2</v>
      </c>
    </row>
    <row r="3" spans="1:12" ht="22.5" customHeight="1" thickBot="1">
      <c r="A3" s="31" t="s">
        <v>3</v>
      </c>
      <c r="B3" s="32" t="s">
        <v>4</v>
      </c>
      <c r="C3" s="32" t="s">
        <v>5</v>
      </c>
      <c r="D3" s="32" t="s">
        <v>72</v>
      </c>
      <c r="E3" s="32" t="s">
        <v>73</v>
      </c>
      <c r="F3" s="32" t="s">
        <v>5</v>
      </c>
      <c r="G3" s="32" t="s">
        <v>72</v>
      </c>
      <c r="H3" s="32" t="s">
        <v>73</v>
      </c>
      <c r="I3" s="32" t="s">
        <v>6</v>
      </c>
      <c r="J3" s="32" t="s">
        <v>74</v>
      </c>
      <c r="K3" s="32" t="s">
        <v>7</v>
      </c>
      <c r="L3" s="33"/>
    </row>
    <row r="4" spans="1:12" ht="18" customHeight="1">
      <c r="A4" s="2" t="s">
        <v>75</v>
      </c>
      <c r="B4" s="3" t="s">
        <v>8</v>
      </c>
      <c r="C4" s="4">
        <v>50</v>
      </c>
      <c r="D4" s="4">
        <v>7900</v>
      </c>
      <c r="E4" s="4">
        <f t="shared" ref="E4:E18" si="0">C4*D4</f>
        <v>395000</v>
      </c>
      <c r="F4" s="3"/>
      <c r="G4" s="3"/>
      <c r="H4" s="3"/>
      <c r="I4" s="5">
        <f t="shared" ref="I4:I18" si="1">-C4</f>
        <v>-50</v>
      </c>
      <c r="J4" s="5">
        <f t="shared" ref="J4:J18" si="2">-E4</f>
        <v>-395000</v>
      </c>
      <c r="K4" s="3" t="s">
        <v>9</v>
      </c>
      <c r="L4" s="6" t="s">
        <v>76</v>
      </c>
    </row>
    <row r="5" spans="1:12" ht="18" customHeight="1">
      <c r="A5" s="9" t="s">
        <v>10</v>
      </c>
      <c r="B5" s="8" t="s">
        <v>11</v>
      </c>
      <c r="C5" s="10">
        <v>3</v>
      </c>
      <c r="D5" s="10">
        <v>1800</v>
      </c>
      <c r="E5" s="10">
        <f t="shared" si="0"/>
        <v>5400</v>
      </c>
      <c r="F5" s="8"/>
      <c r="G5" s="8"/>
      <c r="H5" s="8"/>
      <c r="I5" s="11">
        <f t="shared" si="1"/>
        <v>-3</v>
      </c>
      <c r="J5" s="11">
        <f t="shared" si="2"/>
        <v>-5400</v>
      </c>
      <c r="K5" s="8" t="s">
        <v>9</v>
      </c>
      <c r="L5" s="12" t="s">
        <v>12</v>
      </c>
    </row>
    <row r="6" spans="1:12" ht="18" customHeight="1">
      <c r="A6" s="9" t="s">
        <v>77</v>
      </c>
      <c r="B6" s="8" t="s">
        <v>13</v>
      </c>
      <c r="C6" s="10">
        <v>5</v>
      </c>
      <c r="D6" s="10">
        <v>2300</v>
      </c>
      <c r="E6" s="10">
        <f t="shared" si="0"/>
        <v>11500</v>
      </c>
      <c r="F6" s="8"/>
      <c r="G6" s="8"/>
      <c r="H6" s="8"/>
      <c r="I6" s="11">
        <f t="shared" si="1"/>
        <v>-5</v>
      </c>
      <c r="J6" s="11">
        <f t="shared" si="2"/>
        <v>-11500</v>
      </c>
      <c r="K6" s="8" t="s">
        <v>9</v>
      </c>
      <c r="L6" s="12" t="s">
        <v>14</v>
      </c>
    </row>
    <row r="7" spans="1:12" ht="18" customHeight="1">
      <c r="A7" s="9" t="s">
        <v>15</v>
      </c>
      <c r="B7" s="8" t="s">
        <v>78</v>
      </c>
      <c r="C7" s="10">
        <v>2</v>
      </c>
      <c r="D7" s="10">
        <v>45000</v>
      </c>
      <c r="E7" s="10">
        <f t="shared" si="0"/>
        <v>90000</v>
      </c>
      <c r="F7" s="8"/>
      <c r="G7" s="8"/>
      <c r="H7" s="8"/>
      <c r="I7" s="11">
        <f t="shared" si="1"/>
        <v>-2</v>
      </c>
      <c r="J7" s="11">
        <f t="shared" si="2"/>
        <v>-90000</v>
      </c>
      <c r="K7" s="8" t="s">
        <v>9</v>
      </c>
      <c r="L7" s="12" t="s">
        <v>79</v>
      </c>
    </row>
    <row r="8" spans="1:12" ht="18" customHeight="1">
      <c r="A8" s="9" t="s">
        <v>16</v>
      </c>
      <c r="B8" s="8" t="s">
        <v>17</v>
      </c>
      <c r="C8" s="10">
        <v>1</v>
      </c>
      <c r="D8" s="10">
        <v>7200</v>
      </c>
      <c r="E8" s="10">
        <f t="shared" si="0"/>
        <v>7200</v>
      </c>
      <c r="F8" s="8"/>
      <c r="G8" s="8"/>
      <c r="H8" s="8"/>
      <c r="I8" s="11">
        <f t="shared" si="1"/>
        <v>-1</v>
      </c>
      <c r="J8" s="11">
        <f t="shared" si="2"/>
        <v>-7200</v>
      </c>
      <c r="K8" s="8" t="s">
        <v>9</v>
      </c>
      <c r="L8" s="12" t="s">
        <v>18</v>
      </c>
    </row>
    <row r="9" spans="1:12" ht="18" customHeight="1">
      <c r="A9" s="9" t="s">
        <v>19</v>
      </c>
      <c r="B9" s="8" t="s">
        <v>20</v>
      </c>
      <c r="C9" s="10">
        <v>1</v>
      </c>
      <c r="D9" s="10">
        <v>18800</v>
      </c>
      <c r="E9" s="10">
        <f t="shared" si="0"/>
        <v>18800</v>
      </c>
      <c r="F9" s="8"/>
      <c r="G9" s="8"/>
      <c r="H9" s="8"/>
      <c r="I9" s="11">
        <f t="shared" si="1"/>
        <v>-1</v>
      </c>
      <c r="J9" s="11">
        <f t="shared" si="2"/>
        <v>-18800</v>
      </c>
      <c r="K9" s="8" t="s">
        <v>9</v>
      </c>
      <c r="L9" s="12" t="s">
        <v>21</v>
      </c>
    </row>
    <row r="10" spans="1:12" ht="18" customHeight="1">
      <c r="A10" s="9" t="s">
        <v>80</v>
      </c>
      <c r="B10" s="8" t="s">
        <v>22</v>
      </c>
      <c r="C10" s="10">
        <v>10</v>
      </c>
      <c r="D10" s="10">
        <v>5900</v>
      </c>
      <c r="E10" s="10">
        <f t="shared" si="0"/>
        <v>59000</v>
      </c>
      <c r="F10" s="8"/>
      <c r="G10" s="8"/>
      <c r="H10" s="8"/>
      <c r="I10" s="11">
        <f t="shared" si="1"/>
        <v>-10</v>
      </c>
      <c r="J10" s="11">
        <f t="shared" si="2"/>
        <v>-59000</v>
      </c>
      <c r="K10" s="8" t="s">
        <v>9</v>
      </c>
      <c r="L10" s="12" t="s">
        <v>23</v>
      </c>
    </row>
    <row r="11" spans="1:12" ht="18" customHeight="1">
      <c r="A11" s="9" t="s">
        <v>24</v>
      </c>
      <c r="B11" s="8" t="s">
        <v>20</v>
      </c>
      <c r="C11" s="10">
        <v>10</v>
      </c>
      <c r="D11" s="10">
        <v>1000</v>
      </c>
      <c r="E11" s="10">
        <f t="shared" si="0"/>
        <v>10000</v>
      </c>
      <c r="F11" s="8"/>
      <c r="G11" s="8"/>
      <c r="H11" s="8"/>
      <c r="I11" s="11">
        <f t="shared" si="1"/>
        <v>-10</v>
      </c>
      <c r="J11" s="11">
        <f t="shared" si="2"/>
        <v>-10000</v>
      </c>
      <c r="K11" s="8" t="s">
        <v>9</v>
      </c>
      <c r="L11" s="12" t="s">
        <v>25</v>
      </c>
    </row>
    <row r="12" spans="1:12" ht="18" customHeight="1">
      <c r="A12" s="9" t="s">
        <v>26</v>
      </c>
      <c r="B12" s="8"/>
      <c r="C12" s="10">
        <v>2</v>
      </c>
      <c r="D12" s="10">
        <v>4000</v>
      </c>
      <c r="E12" s="10">
        <f t="shared" si="0"/>
        <v>8000</v>
      </c>
      <c r="F12" s="8"/>
      <c r="G12" s="8"/>
      <c r="H12" s="8"/>
      <c r="I12" s="11">
        <f t="shared" si="1"/>
        <v>-2</v>
      </c>
      <c r="J12" s="11">
        <f t="shared" si="2"/>
        <v>-8000</v>
      </c>
      <c r="K12" s="8" t="s">
        <v>9</v>
      </c>
      <c r="L12" s="12" t="s">
        <v>81</v>
      </c>
    </row>
    <row r="13" spans="1:12" ht="18" customHeight="1">
      <c r="A13" s="9" t="s">
        <v>27</v>
      </c>
      <c r="B13" s="8" t="s">
        <v>13</v>
      </c>
      <c r="C13" s="10">
        <v>6</v>
      </c>
      <c r="D13" s="10">
        <v>14500</v>
      </c>
      <c r="E13" s="10">
        <f t="shared" si="0"/>
        <v>87000</v>
      </c>
      <c r="F13" s="8"/>
      <c r="G13" s="8"/>
      <c r="H13" s="8"/>
      <c r="I13" s="11">
        <f t="shared" si="1"/>
        <v>-6</v>
      </c>
      <c r="J13" s="11">
        <f t="shared" si="2"/>
        <v>-87000</v>
      </c>
      <c r="K13" s="8" t="s">
        <v>9</v>
      </c>
      <c r="L13" s="12" t="s">
        <v>28</v>
      </c>
    </row>
    <row r="14" spans="1:12" ht="18" customHeight="1">
      <c r="A14" s="9" t="s">
        <v>82</v>
      </c>
      <c r="B14" s="8" t="s">
        <v>83</v>
      </c>
      <c r="C14" s="10">
        <v>3</v>
      </c>
      <c r="D14" s="10">
        <v>12000</v>
      </c>
      <c r="E14" s="10">
        <f t="shared" si="0"/>
        <v>36000</v>
      </c>
      <c r="F14" s="8"/>
      <c r="G14" s="8"/>
      <c r="H14" s="8"/>
      <c r="I14" s="11">
        <f t="shared" si="1"/>
        <v>-3</v>
      </c>
      <c r="J14" s="11">
        <f t="shared" si="2"/>
        <v>-36000</v>
      </c>
      <c r="K14" s="8" t="s">
        <v>9</v>
      </c>
      <c r="L14" s="12" t="s">
        <v>84</v>
      </c>
    </row>
    <row r="15" spans="1:12" ht="18" customHeight="1">
      <c r="A15" s="9" t="s">
        <v>29</v>
      </c>
      <c r="B15" s="8" t="s">
        <v>85</v>
      </c>
      <c r="C15" s="10">
        <v>3</v>
      </c>
      <c r="D15" s="10">
        <v>10000</v>
      </c>
      <c r="E15" s="10">
        <f t="shared" si="0"/>
        <v>30000</v>
      </c>
      <c r="F15" s="8"/>
      <c r="G15" s="8"/>
      <c r="H15" s="8"/>
      <c r="I15" s="11">
        <f t="shared" si="1"/>
        <v>-3</v>
      </c>
      <c r="J15" s="11">
        <f t="shared" si="2"/>
        <v>-30000</v>
      </c>
      <c r="K15" s="8" t="s">
        <v>9</v>
      </c>
      <c r="L15" s="12" t="s">
        <v>86</v>
      </c>
    </row>
    <row r="16" spans="1:12" ht="18" customHeight="1">
      <c r="A16" s="9" t="s">
        <v>87</v>
      </c>
      <c r="B16" s="8" t="s">
        <v>30</v>
      </c>
      <c r="C16" s="10">
        <v>3</v>
      </c>
      <c r="D16" s="10">
        <v>11000</v>
      </c>
      <c r="E16" s="10">
        <f t="shared" si="0"/>
        <v>33000</v>
      </c>
      <c r="F16" s="8"/>
      <c r="G16" s="8"/>
      <c r="H16" s="8"/>
      <c r="I16" s="11">
        <f t="shared" si="1"/>
        <v>-3</v>
      </c>
      <c r="J16" s="11">
        <f t="shared" si="2"/>
        <v>-33000</v>
      </c>
      <c r="K16" s="8" t="s">
        <v>9</v>
      </c>
      <c r="L16" s="12" t="s">
        <v>88</v>
      </c>
    </row>
    <row r="17" spans="1:12" ht="18" customHeight="1">
      <c r="A17" s="9" t="s">
        <v>31</v>
      </c>
      <c r="B17" s="8" t="s">
        <v>32</v>
      </c>
      <c r="C17" s="10">
        <v>3</v>
      </c>
      <c r="D17" s="10">
        <v>15000</v>
      </c>
      <c r="E17" s="10">
        <f t="shared" si="0"/>
        <v>45000</v>
      </c>
      <c r="F17" s="8"/>
      <c r="G17" s="8"/>
      <c r="H17" s="8"/>
      <c r="I17" s="11">
        <f t="shared" si="1"/>
        <v>-3</v>
      </c>
      <c r="J17" s="11">
        <f t="shared" si="2"/>
        <v>-45000</v>
      </c>
      <c r="K17" s="8" t="s">
        <v>9</v>
      </c>
      <c r="L17" s="12" t="s">
        <v>89</v>
      </c>
    </row>
    <row r="18" spans="1:12" ht="18" customHeight="1">
      <c r="A18" s="9" t="s">
        <v>90</v>
      </c>
      <c r="B18" s="8" t="s">
        <v>33</v>
      </c>
      <c r="C18" s="10">
        <v>4</v>
      </c>
      <c r="D18" s="10">
        <v>47000</v>
      </c>
      <c r="E18" s="10">
        <f t="shared" si="0"/>
        <v>188000</v>
      </c>
      <c r="F18" s="8"/>
      <c r="G18" s="8"/>
      <c r="H18" s="8"/>
      <c r="I18" s="11">
        <f t="shared" si="1"/>
        <v>-4</v>
      </c>
      <c r="J18" s="11">
        <f t="shared" si="2"/>
        <v>-188000</v>
      </c>
      <c r="K18" s="8" t="s">
        <v>9</v>
      </c>
      <c r="L18" s="12" t="s">
        <v>34</v>
      </c>
    </row>
    <row r="19" spans="1:12" ht="18" customHeight="1" thickBot="1">
      <c r="A19" s="44" t="s">
        <v>120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/>
    </row>
    <row r="20" spans="1:12" ht="18" customHeight="1">
      <c r="A20" s="50" t="s">
        <v>91</v>
      </c>
      <c r="B20" s="51" t="s">
        <v>35</v>
      </c>
      <c r="C20" s="51"/>
      <c r="D20" s="51"/>
      <c r="E20" s="51"/>
      <c r="F20" s="52">
        <v>5</v>
      </c>
      <c r="G20" s="52">
        <v>2000</v>
      </c>
      <c r="H20" s="52">
        <f t="shared" ref="H20:H35" si="3">F20*G20</f>
        <v>10000</v>
      </c>
      <c r="I20" s="53">
        <f t="shared" ref="I20:I35" si="4">F20</f>
        <v>5</v>
      </c>
      <c r="J20" s="53">
        <f t="shared" ref="J20:J35" si="5">H20</f>
        <v>10000</v>
      </c>
      <c r="K20" s="51" t="s">
        <v>36</v>
      </c>
      <c r="L20" s="54" t="s">
        <v>37</v>
      </c>
    </row>
    <row r="21" spans="1:12" ht="18" customHeight="1">
      <c r="A21" s="45" t="s">
        <v>92</v>
      </c>
      <c r="B21" s="46" t="s">
        <v>38</v>
      </c>
      <c r="C21" s="46"/>
      <c r="D21" s="46"/>
      <c r="E21" s="46"/>
      <c r="F21" s="47">
        <v>1</v>
      </c>
      <c r="G21" s="47">
        <v>142000</v>
      </c>
      <c r="H21" s="47">
        <f t="shared" si="3"/>
        <v>142000</v>
      </c>
      <c r="I21" s="48">
        <f t="shared" si="4"/>
        <v>1</v>
      </c>
      <c r="J21" s="48">
        <f t="shared" si="5"/>
        <v>142000</v>
      </c>
      <c r="K21" s="46" t="s">
        <v>36</v>
      </c>
      <c r="L21" s="49" t="s">
        <v>93</v>
      </c>
    </row>
    <row r="22" spans="1:12" ht="18" customHeight="1">
      <c r="A22" s="45" t="s">
        <v>39</v>
      </c>
      <c r="B22" s="46" t="s">
        <v>94</v>
      </c>
      <c r="C22" s="46"/>
      <c r="D22" s="46"/>
      <c r="E22" s="46"/>
      <c r="F22" s="47">
        <v>1</v>
      </c>
      <c r="G22" s="47">
        <v>12000</v>
      </c>
      <c r="H22" s="47">
        <f t="shared" si="3"/>
        <v>12000</v>
      </c>
      <c r="I22" s="48">
        <f t="shared" si="4"/>
        <v>1</v>
      </c>
      <c r="J22" s="48">
        <f t="shared" si="5"/>
        <v>12000</v>
      </c>
      <c r="K22" s="46" t="s">
        <v>36</v>
      </c>
      <c r="L22" s="49" t="s">
        <v>95</v>
      </c>
    </row>
    <row r="23" spans="1:12" ht="18" customHeight="1">
      <c r="A23" s="45" t="s">
        <v>123</v>
      </c>
      <c r="B23" s="46" t="s">
        <v>40</v>
      </c>
      <c r="C23" s="46"/>
      <c r="D23" s="46"/>
      <c r="E23" s="46"/>
      <c r="F23" s="47">
        <v>1</v>
      </c>
      <c r="G23" s="47">
        <v>130000</v>
      </c>
      <c r="H23" s="47">
        <f t="shared" si="3"/>
        <v>130000</v>
      </c>
      <c r="I23" s="48">
        <f t="shared" si="4"/>
        <v>1</v>
      </c>
      <c r="J23" s="48">
        <f t="shared" si="5"/>
        <v>130000</v>
      </c>
      <c r="K23" s="46" t="s">
        <v>36</v>
      </c>
      <c r="L23" s="49" t="s">
        <v>41</v>
      </c>
    </row>
    <row r="24" spans="1:12" ht="18" customHeight="1">
      <c r="A24" s="45" t="s">
        <v>42</v>
      </c>
      <c r="B24" s="46" t="s">
        <v>43</v>
      </c>
      <c r="C24" s="46"/>
      <c r="D24" s="46"/>
      <c r="E24" s="46"/>
      <c r="F24" s="47">
        <v>1</v>
      </c>
      <c r="G24" s="47">
        <v>72000</v>
      </c>
      <c r="H24" s="47">
        <f t="shared" si="3"/>
        <v>72000</v>
      </c>
      <c r="I24" s="48">
        <f t="shared" si="4"/>
        <v>1</v>
      </c>
      <c r="J24" s="48">
        <f t="shared" si="5"/>
        <v>72000</v>
      </c>
      <c r="K24" s="46" t="s">
        <v>36</v>
      </c>
      <c r="L24" s="49" t="s">
        <v>44</v>
      </c>
    </row>
    <row r="25" spans="1:12" ht="18" customHeight="1">
      <c r="A25" s="45" t="s">
        <v>45</v>
      </c>
      <c r="B25" s="46"/>
      <c r="C25" s="46"/>
      <c r="D25" s="46"/>
      <c r="E25" s="46"/>
      <c r="F25" s="47">
        <v>1</v>
      </c>
      <c r="G25" s="47">
        <v>75000</v>
      </c>
      <c r="H25" s="47">
        <f t="shared" si="3"/>
        <v>75000</v>
      </c>
      <c r="I25" s="48">
        <f t="shared" si="4"/>
        <v>1</v>
      </c>
      <c r="J25" s="48">
        <f t="shared" si="5"/>
        <v>75000</v>
      </c>
      <c r="K25" s="46" t="s">
        <v>36</v>
      </c>
      <c r="L25" s="49" t="s">
        <v>46</v>
      </c>
    </row>
    <row r="26" spans="1:12" ht="18" customHeight="1">
      <c r="A26" s="45" t="s">
        <v>47</v>
      </c>
      <c r="B26" s="46" t="s">
        <v>48</v>
      </c>
      <c r="C26" s="46"/>
      <c r="D26" s="46"/>
      <c r="E26" s="46"/>
      <c r="F26" s="47">
        <v>1</v>
      </c>
      <c r="G26" s="47">
        <v>3500</v>
      </c>
      <c r="H26" s="47">
        <f t="shared" si="3"/>
        <v>3500</v>
      </c>
      <c r="I26" s="48">
        <f t="shared" si="4"/>
        <v>1</v>
      </c>
      <c r="J26" s="48">
        <f t="shared" si="5"/>
        <v>3500</v>
      </c>
      <c r="K26" s="46" t="s">
        <v>36</v>
      </c>
      <c r="L26" s="49" t="s">
        <v>96</v>
      </c>
    </row>
    <row r="27" spans="1:12" ht="18" customHeight="1">
      <c r="A27" s="45" t="s">
        <v>49</v>
      </c>
      <c r="B27" s="46"/>
      <c r="C27" s="46"/>
      <c r="D27" s="46"/>
      <c r="E27" s="46"/>
      <c r="F27" s="47">
        <v>2</v>
      </c>
      <c r="G27" s="47">
        <v>5000</v>
      </c>
      <c r="H27" s="47">
        <f t="shared" si="3"/>
        <v>10000</v>
      </c>
      <c r="I27" s="48">
        <f t="shared" si="4"/>
        <v>2</v>
      </c>
      <c r="J27" s="48">
        <f t="shared" si="5"/>
        <v>10000</v>
      </c>
      <c r="K27" s="46" t="s">
        <v>36</v>
      </c>
      <c r="L27" s="49" t="s">
        <v>50</v>
      </c>
    </row>
    <row r="28" spans="1:12" ht="18" customHeight="1">
      <c r="A28" s="45" t="s">
        <v>51</v>
      </c>
      <c r="B28" s="46" t="s">
        <v>52</v>
      </c>
      <c r="C28" s="46"/>
      <c r="D28" s="46"/>
      <c r="E28" s="46"/>
      <c r="F28" s="47">
        <v>5</v>
      </c>
      <c r="G28" s="47">
        <v>2000</v>
      </c>
      <c r="H28" s="47">
        <f t="shared" si="3"/>
        <v>10000</v>
      </c>
      <c r="I28" s="48">
        <f t="shared" si="4"/>
        <v>5</v>
      </c>
      <c r="J28" s="48">
        <f t="shared" si="5"/>
        <v>10000</v>
      </c>
      <c r="K28" s="46" t="s">
        <v>36</v>
      </c>
      <c r="L28" s="49" t="s">
        <v>53</v>
      </c>
    </row>
    <row r="29" spans="1:12" ht="18" customHeight="1">
      <c r="A29" s="45" t="s">
        <v>54</v>
      </c>
      <c r="B29" s="46" t="s">
        <v>55</v>
      </c>
      <c r="C29" s="46"/>
      <c r="D29" s="46"/>
      <c r="E29" s="46"/>
      <c r="F29" s="47">
        <v>1</v>
      </c>
      <c r="G29" s="47">
        <v>14000</v>
      </c>
      <c r="H29" s="47">
        <f t="shared" si="3"/>
        <v>14000</v>
      </c>
      <c r="I29" s="48">
        <f t="shared" si="4"/>
        <v>1</v>
      </c>
      <c r="J29" s="48">
        <f t="shared" si="5"/>
        <v>14000</v>
      </c>
      <c r="K29" s="46" t="s">
        <v>36</v>
      </c>
      <c r="L29" s="49" t="s">
        <v>56</v>
      </c>
    </row>
    <row r="30" spans="1:12" ht="18" customHeight="1">
      <c r="A30" s="45" t="s">
        <v>57</v>
      </c>
      <c r="B30" s="46" t="s">
        <v>58</v>
      </c>
      <c r="C30" s="46"/>
      <c r="D30" s="46"/>
      <c r="E30" s="46"/>
      <c r="F30" s="47">
        <v>10</v>
      </c>
      <c r="G30" s="47">
        <v>2000</v>
      </c>
      <c r="H30" s="47">
        <f t="shared" si="3"/>
        <v>20000</v>
      </c>
      <c r="I30" s="48">
        <f t="shared" si="4"/>
        <v>10</v>
      </c>
      <c r="J30" s="48">
        <f t="shared" si="5"/>
        <v>20000</v>
      </c>
      <c r="K30" s="46" t="s">
        <v>36</v>
      </c>
      <c r="L30" s="49" t="s">
        <v>97</v>
      </c>
    </row>
    <row r="31" spans="1:12" ht="18" customHeight="1">
      <c r="A31" s="45" t="s">
        <v>98</v>
      </c>
      <c r="B31" s="46" t="s">
        <v>59</v>
      </c>
      <c r="C31" s="46"/>
      <c r="D31" s="46"/>
      <c r="E31" s="46"/>
      <c r="F31" s="47">
        <v>5</v>
      </c>
      <c r="G31" s="47">
        <v>2000</v>
      </c>
      <c r="H31" s="47">
        <f t="shared" si="3"/>
        <v>10000</v>
      </c>
      <c r="I31" s="48">
        <f t="shared" si="4"/>
        <v>5</v>
      </c>
      <c r="J31" s="48">
        <f t="shared" si="5"/>
        <v>10000</v>
      </c>
      <c r="K31" s="46" t="s">
        <v>36</v>
      </c>
      <c r="L31" s="49" t="s">
        <v>99</v>
      </c>
    </row>
    <row r="32" spans="1:12" ht="18" customHeight="1">
      <c r="A32" s="45" t="s">
        <v>100</v>
      </c>
      <c r="B32" s="46" t="s">
        <v>35</v>
      </c>
      <c r="C32" s="46"/>
      <c r="D32" s="46"/>
      <c r="E32" s="46"/>
      <c r="F32" s="47">
        <v>50</v>
      </c>
      <c r="G32" s="47">
        <v>1000</v>
      </c>
      <c r="H32" s="47">
        <f t="shared" si="3"/>
        <v>50000</v>
      </c>
      <c r="I32" s="48">
        <f t="shared" si="4"/>
        <v>50</v>
      </c>
      <c r="J32" s="48">
        <f t="shared" si="5"/>
        <v>50000</v>
      </c>
      <c r="K32" s="46" t="s">
        <v>36</v>
      </c>
      <c r="L32" s="49" t="s">
        <v>101</v>
      </c>
    </row>
    <row r="33" spans="1:12" ht="18" customHeight="1">
      <c r="A33" s="45" t="s">
        <v>100</v>
      </c>
      <c r="B33" s="46" t="s">
        <v>60</v>
      </c>
      <c r="C33" s="46"/>
      <c r="D33" s="46"/>
      <c r="E33" s="46"/>
      <c r="F33" s="47">
        <v>50</v>
      </c>
      <c r="G33" s="47">
        <v>1500</v>
      </c>
      <c r="H33" s="47">
        <f t="shared" si="3"/>
        <v>75000</v>
      </c>
      <c r="I33" s="48">
        <f t="shared" si="4"/>
        <v>50</v>
      </c>
      <c r="J33" s="48">
        <f t="shared" si="5"/>
        <v>75000</v>
      </c>
      <c r="K33" s="46" t="s">
        <v>36</v>
      </c>
      <c r="L33" s="49" t="s">
        <v>102</v>
      </c>
    </row>
    <row r="34" spans="1:12" ht="18" customHeight="1">
      <c r="A34" s="45" t="s">
        <v>103</v>
      </c>
      <c r="B34" s="46" t="s">
        <v>104</v>
      </c>
      <c r="C34" s="46"/>
      <c r="D34" s="46"/>
      <c r="E34" s="46"/>
      <c r="F34" s="47">
        <v>1</v>
      </c>
      <c r="G34" s="47">
        <v>77000</v>
      </c>
      <c r="H34" s="47">
        <f t="shared" si="3"/>
        <v>77000</v>
      </c>
      <c r="I34" s="48">
        <f t="shared" si="4"/>
        <v>1</v>
      </c>
      <c r="J34" s="48">
        <f t="shared" si="5"/>
        <v>77000</v>
      </c>
      <c r="K34" s="46" t="s">
        <v>36</v>
      </c>
      <c r="L34" s="49" t="s">
        <v>105</v>
      </c>
    </row>
    <row r="35" spans="1:12" ht="18" customHeight="1" thickBot="1">
      <c r="A35" s="55" t="s">
        <v>61</v>
      </c>
      <c r="B35" s="56" t="s">
        <v>22</v>
      </c>
      <c r="C35" s="56"/>
      <c r="D35" s="56"/>
      <c r="E35" s="56"/>
      <c r="F35" s="57">
        <v>5</v>
      </c>
      <c r="G35" s="57">
        <v>7800</v>
      </c>
      <c r="H35" s="57">
        <f t="shared" si="3"/>
        <v>39000</v>
      </c>
      <c r="I35" s="58">
        <f t="shared" si="4"/>
        <v>5</v>
      </c>
      <c r="J35" s="58">
        <f t="shared" si="5"/>
        <v>39000</v>
      </c>
      <c r="K35" s="56" t="s">
        <v>36</v>
      </c>
      <c r="L35" s="59" t="s">
        <v>106</v>
      </c>
    </row>
    <row r="36" spans="1:12" ht="18" customHeight="1" thickBot="1">
      <c r="A36" s="34" t="s">
        <v>121</v>
      </c>
      <c r="B36" s="35"/>
      <c r="C36" s="35"/>
      <c r="D36" s="35"/>
      <c r="E36" s="35"/>
      <c r="F36" s="36">
        <f>SUM(F20:F35)</f>
        <v>140</v>
      </c>
      <c r="G36" s="36">
        <f t="shared" ref="G36:J36" si="6">SUM(G20:G35)</f>
        <v>548800</v>
      </c>
      <c r="H36" s="36">
        <f t="shared" si="6"/>
        <v>749500</v>
      </c>
      <c r="I36" s="36">
        <f t="shared" si="6"/>
        <v>140</v>
      </c>
      <c r="J36" s="36">
        <f t="shared" si="6"/>
        <v>749500</v>
      </c>
      <c r="K36" s="35"/>
      <c r="L36" s="37"/>
    </row>
    <row r="37" spans="1:12" ht="16.5" customHeight="1" thickBot="1">
      <c r="A37" s="15" t="s">
        <v>118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ht="18" customHeight="1">
      <c r="A38" s="60" t="s">
        <v>107</v>
      </c>
      <c r="B38" s="61" t="s">
        <v>62</v>
      </c>
      <c r="C38" s="61"/>
      <c r="D38" s="61"/>
      <c r="E38" s="61"/>
      <c r="F38" s="62">
        <v>3</v>
      </c>
      <c r="G38" s="62">
        <v>6000</v>
      </c>
      <c r="H38" s="62">
        <f>F38*G38</f>
        <v>18000</v>
      </c>
      <c r="I38" s="63">
        <f>F38</f>
        <v>3</v>
      </c>
      <c r="J38" s="63">
        <f>H38</f>
        <v>18000</v>
      </c>
      <c r="K38" s="61" t="s">
        <v>36</v>
      </c>
      <c r="L38" s="64" t="s">
        <v>108</v>
      </c>
    </row>
    <row r="39" spans="1:12" ht="18" customHeight="1">
      <c r="A39" s="65" t="s">
        <v>109</v>
      </c>
      <c r="B39" s="66" t="s">
        <v>63</v>
      </c>
      <c r="C39" s="66"/>
      <c r="D39" s="66"/>
      <c r="E39" s="66"/>
      <c r="F39" s="67">
        <v>2</v>
      </c>
      <c r="G39" s="67">
        <v>59000</v>
      </c>
      <c r="H39" s="67">
        <f>F39*G39</f>
        <v>118000</v>
      </c>
      <c r="I39" s="68">
        <f>F39</f>
        <v>2</v>
      </c>
      <c r="J39" s="68">
        <f>H39</f>
        <v>118000</v>
      </c>
      <c r="K39" s="66" t="s">
        <v>36</v>
      </c>
      <c r="L39" s="69" t="s">
        <v>110</v>
      </c>
    </row>
    <row r="40" spans="1:12" ht="18" customHeight="1">
      <c r="A40" s="65" t="s">
        <v>111</v>
      </c>
      <c r="B40" s="66" t="s">
        <v>64</v>
      </c>
      <c r="C40" s="66"/>
      <c r="D40" s="66"/>
      <c r="E40" s="66"/>
      <c r="F40" s="67">
        <v>2</v>
      </c>
      <c r="G40" s="67">
        <v>10000</v>
      </c>
      <c r="H40" s="67">
        <f>F40*G40</f>
        <v>20000</v>
      </c>
      <c r="I40" s="68">
        <f>F40</f>
        <v>2</v>
      </c>
      <c r="J40" s="68">
        <f>H40</f>
        <v>20000</v>
      </c>
      <c r="K40" s="66" t="s">
        <v>36</v>
      </c>
      <c r="L40" s="69" t="s">
        <v>65</v>
      </c>
    </row>
    <row r="41" spans="1:12" ht="18" customHeight="1">
      <c r="A41" s="65" t="s">
        <v>112</v>
      </c>
      <c r="B41" s="66" t="s">
        <v>66</v>
      </c>
      <c r="C41" s="66"/>
      <c r="D41" s="66"/>
      <c r="E41" s="66"/>
      <c r="F41" s="67">
        <v>2</v>
      </c>
      <c r="G41" s="67">
        <v>8000</v>
      </c>
      <c r="H41" s="67">
        <f>F41*G41</f>
        <v>16000</v>
      </c>
      <c r="I41" s="68">
        <f>F41</f>
        <v>2</v>
      </c>
      <c r="J41" s="68">
        <f>H41</f>
        <v>16000</v>
      </c>
      <c r="K41" s="66" t="s">
        <v>36</v>
      </c>
      <c r="L41" s="69" t="s">
        <v>67</v>
      </c>
    </row>
    <row r="42" spans="1:12" ht="18" customHeight="1" thickBot="1">
      <c r="A42" s="70" t="s">
        <v>113</v>
      </c>
      <c r="B42" s="71" t="s">
        <v>68</v>
      </c>
      <c r="C42" s="71"/>
      <c r="D42" s="71"/>
      <c r="E42" s="71"/>
      <c r="F42" s="72">
        <v>10</v>
      </c>
      <c r="G42" s="72">
        <v>5000</v>
      </c>
      <c r="H42" s="72">
        <f>F42*G42</f>
        <v>50000</v>
      </c>
      <c r="I42" s="73">
        <f>F42</f>
        <v>10</v>
      </c>
      <c r="J42" s="73">
        <f>H42</f>
        <v>50000</v>
      </c>
      <c r="K42" s="71" t="s">
        <v>36</v>
      </c>
      <c r="L42" s="74" t="s">
        <v>69</v>
      </c>
    </row>
    <row r="43" spans="1:12" ht="18" customHeight="1" thickBot="1">
      <c r="A43" s="40" t="s">
        <v>122</v>
      </c>
      <c r="B43" s="41"/>
      <c r="C43" s="41"/>
      <c r="D43" s="41"/>
      <c r="E43" s="41"/>
      <c r="F43" s="42">
        <f>SUM(F38:F42)</f>
        <v>19</v>
      </c>
      <c r="G43" s="42">
        <f t="shared" ref="G43:J43" si="7">SUM(G38:G42)</f>
        <v>88000</v>
      </c>
      <c r="H43" s="42">
        <f t="shared" si="7"/>
        <v>222000</v>
      </c>
      <c r="I43" s="42">
        <f t="shared" si="7"/>
        <v>19</v>
      </c>
      <c r="J43" s="42">
        <f t="shared" si="7"/>
        <v>222000</v>
      </c>
      <c r="K43" s="41"/>
      <c r="L43" s="43"/>
    </row>
    <row r="44" spans="1:12" ht="21.75" customHeight="1" thickBot="1">
      <c r="A44" s="38" t="s">
        <v>119</v>
      </c>
      <c r="B44" s="39"/>
      <c r="C44" s="18">
        <f>SUM(C4:C42)</f>
        <v>106</v>
      </c>
      <c r="D44" s="19"/>
      <c r="E44" s="18">
        <f>SUM(E4:E42)</f>
        <v>1023900</v>
      </c>
      <c r="F44" s="18">
        <f>F36+F43</f>
        <v>159</v>
      </c>
      <c r="G44" s="18">
        <f>G36+G43</f>
        <v>636800</v>
      </c>
      <c r="H44" s="18">
        <f t="shared" ref="H44:J44" si="8">H36+H43</f>
        <v>971500</v>
      </c>
      <c r="I44" s="18">
        <f t="shared" si="8"/>
        <v>159</v>
      </c>
      <c r="J44" s="18">
        <f t="shared" si="8"/>
        <v>971500</v>
      </c>
      <c r="K44" s="19"/>
      <c r="L44" s="20"/>
    </row>
    <row r="45" spans="1:12" ht="19.5" customHeight="1" thickBot="1">
      <c r="A45" s="25" t="s">
        <v>114</v>
      </c>
      <c r="B45" s="26"/>
      <c r="C45" s="26"/>
      <c r="D45" s="26"/>
      <c r="E45" s="21">
        <v>980000</v>
      </c>
      <c r="F45" s="22"/>
      <c r="G45" s="22"/>
      <c r="H45" s="21">
        <v>950000</v>
      </c>
      <c r="I45" s="22"/>
      <c r="J45" s="23">
        <f>H45-E45</f>
        <v>-30000</v>
      </c>
      <c r="K45" s="22"/>
      <c r="L45" s="24"/>
    </row>
    <row r="46" spans="1:12" ht="6.75" customHeight="1"/>
    <row r="47" spans="1:12" ht="18" customHeight="1">
      <c r="A47" s="27" t="s">
        <v>115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</row>
    <row r="48" spans="1:12" ht="18" customHeight="1">
      <c r="A48" s="27" t="s">
        <v>116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</row>
  </sheetData>
  <mergeCells count="10">
    <mergeCell ref="A44:B44"/>
    <mergeCell ref="A45:D45"/>
    <mergeCell ref="A47:L47"/>
    <mergeCell ref="A48:L48"/>
    <mergeCell ref="L2:L3"/>
    <mergeCell ref="A1:L1"/>
    <mergeCell ref="A2:B2"/>
    <mergeCell ref="C2:E2"/>
    <mergeCell ref="F2:H2"/>
    <mergeCell ref="I2:K2"/>
  </mergeCells>
  <phoneticPr fontId="1" type="noConversion"/>
  <pageMargins left="0.75" right="0.75" top="1" bottom="1" header="0.511811023622047" footer="0.511811023622047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증감분석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</cp:lastModifiedBy>
  <cp:revision>0</cp:revision>
  <dcterms:created xsi:type="dcterms:W3CDTF">2026-04-25T09:50:25Z</dcterms:created>
  <dcterms:modified xsi:type="dcterms:W3CDTF">2026-04-25T10:15:20Z</dcterms:modified>
  <dc:language>en-US</dc:language>
</cp:coreProperties>
</file>