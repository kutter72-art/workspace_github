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16380" windowHeight="8196" tabRatio="500"/>
  </bookViews>
  <sheets>
    <sheet name="구매비품 증감분석(3→4월)" sheetId="1" r:id="rId1"/>
  </sheets>
  <definedNames>
    <definedName name="_xlnm.Print_Titles" localSheetId="0">'구매비품 증감분석(3→4월)'!$1:$7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H22" i="1" s="1"/>
  <c r="I22" i="1" s="1"/>
  <c r="E22" i="1"/>
  <c r="H4" i="1"/>
  <c r="F4" i="1"/>
</calcChain>
</file>

<file path=xl/sharedStrings.xml><?xml version="1.0" encoding="utf-8"?>
<sst xmlns="http://schemas.openxmlformats.org/spreadsheetml/2006/main" count="80" uniqueCount="52">
  <si>
    <t>원</t>
  </si>
  <si>
    <t>전월 대비</t>
  </si>
  <si>
    <t>NO</t>
  </si>
  <si>
    <t>규격</t>
  </si>
  <si>
    <t>투명고압호스</t>
  </si>
  <si>
    <t>75×50M</t>
  </si>
  <si>
    <t>-</t>
  </si>
  <si>
    <t>화이트보드</t>
  </si>
  <si>
    <t>900×1200</t>
  </si>
  <si>
    <t>청통용기</t>
  </si>
  <si>
    <t>55L</t>
  </si>
  <si>
    <t>비닐봉투</t>
  </si>
  <si>
    <t>80×105</t>
  </si>
  <si>
    <t>메모홀더</t>
  </si>
  <si>
    <t>AMH-20</t>
  </si>
  <si>
    <t>스텐플채</t>
  </si>
  <si>
    <t>500</t>
  </si>
  <si>
    <t>테프론판</t>
  </si>
  <si>
    <t>300×300×1T</t>
  </si>
  <si>
    <t>고무망치</t>
  </si>
  <si>
    <t>EA</t>
  </si>
  <si>
    <t>테프론봉</t>
  </si>
  <si>
    <t>8mm→6mm×1M</t>
  </si>
  <si>
    <t>배송비</t>
  </si>
  <si>
    <t>청력보호구</t>
  </si>
  <si>
    <t>H9A</t>
  </si>
  <si>
    <t>사무용의자</t>
  </si>
  <si>
    <t>보루</t>
  </si>
  <si>
    <t>5kg</t>
  </si>
  <si>
    <t>빗자루</t>
  </si>
  <si>
    <t>대</t>
  </si>
  <si>
    <t>합   계</t>
  </si>
  <si>
    <t>■  신규 구매</t>
  </si>
  <si>
    <t>■  수량 감소</t>
  </si>
  <si>
    <t>품명 (Item)</t>
  </si>
  <si>
    <t>3월 구매</t>
    <phoneticPr fontId="3" type="noConversion"/>
  </si>
  <si>
    <t>4월 구매</t>
    <phoneticPr fontId="3" type="noConversion"/>
  </si>
  <si>
    <t>수량</t>
    <phoneticPr fontId="3" type="noConversion"/>
  </si>
  <si>
    <t>금액</t>
    <phoneticPr fontId="3" type="noConversion"/>
  </si>
  <si>
    <t>금액</t>
    <phoneticPr fontId="3" type="noConversion"/>
  </si>
  <si>
    <t>증감액</t>
    <phoneticPr fontId="3" type="noConversion"/>
  </si>
  <si>
    <t>비  고</t>
    <phoneticPr fontId="3" type="noConversion"/>
  </si>
  <si>
    <t>테프론 구입</t>
    <phoneticPr fontId="3" type="noConversion"/>
  </si>
  <si>
    <r>
      <t>▶ 분석 요약
• 3월: 설비·공정 정비용 자재 대량 구매 (10품목 / 1,116,000원) — 호스·보드·청통용기·테프론 계열 등 공정 소모품 중심
• 4월: 안전·사무용품 위주 소규모 구매 (6품목 / 472,500원) — 청력보호구·사무용의자·보루·빗자루 등 생활·안전용품 전환
• 공통 유지 품목: 테프론봉(규격 변경 8mm→6mm, 수량 2→1개), 배송비는 인터넷 구매 진행(신평철물 구매대행)
• 결과: 전월 대비 총 구매액 ▼57.7% 감소 (</t>
    </r>
    <r>
      <rPr>
        <sz val="12"/>
        <color rgb="FFFF0000"/>
        <rFont val="맑은 고딕"/>
        <family val="2"/>
      </rPr>
      <t>−643,500</t>
    </r>
    <r>
      <rPr>
        <sz val="12"/>
        <color rgb="FF1E3A5F"/>
        <rFont val="맑은 고딕"/>
        <family val="2"/>
      </rPr>
      <t>원)</t>
    </r>
    <phoneticPr fontId="3" type="noConversion"/>
  </si>
  <si>
    <r>
      <rPr>
        <b/>
        <sz val="14"/>
        <color theme="1"/>
        <rFont val="맑은 고딕"/>
        <family val="2"/>
      </rPr>
      <t>생산비품 구매 현황 증감분석 (3월 → 4월)</t>
    </r>
  </si>
  <si>
    <t>3월 구매 합계 (원)</t>
  </si>
  <si>
    <t>4월 구매 합계 (원)</t>
  </si>
  <si>
    <t>증감액 (원)</t>
  </si>
  <si>
    <t>증감률 (%)</t>
  </si>
  <si>
    <r>
      <t>2025</t>
    </r>
    <r>
      <rPr>
        <i/>
        <sz val="9"/>
        <color theme="1"/>
        <rFont val="맑은 고딕"/>
        <family val="2"/>
      </rPr>
      <t>년  |  대하(주) 생산관리팀</t>
    </r>
  </si>
  <si>
    <r>
      <t xml:space="preserve">■  단종 </t>
    </r>
    <r>
      <rPr>
        <b/>
        <sz val="9"/>
        <color theme="1"/>
        <rFont val="맑은 고딕"/>
        <family val="2"/>
      </rPr>
      <t>/ 삭제</t>
    </r>
  </si>
  <si>
    <r>
      <t xml:space="preserve">■  유지 </t>
    </r>
    <r>
      <rPr>
        <b/>
        <sz val="9"/>
        <color theme="1"/>
        <rFont val="맑은 고딕"/>
        <family val="2"/>
      </rPr>
      <t>(변동없음)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</si>
</sst>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▼ &quot;#,##0;&quot;▲ &quot;#,##0"/>
    <numFmt numFmtId="177" formatCode="0.0%"/>
    <numFmt numFmtId="178" formatCode="\+#,##0;\-#,##0;\-"/>
  </numFmts>
  <fonts count="24" x14ac:knownFonts="1">
    <font>
      <sz val="11"/>
      <color theme="1"/>
      <name val="Calibri"/>
      <family val="2"/>
      <charset val="1"/>
    </font>
    <font>
      <b/>
      <sz val="16"/>
      <color rgb="FF1E3A5F"/>
      <name val="Arial"/>
      <family val="2"/>
    </font>
    <font>
      <b/>
      <sz val="16"/>
      <color rgb="FFC0392B"/>
      <name val="Arial"/>
      <family val="2"/>
    </font>
    <font>
      <sz val="8"/>
      <name val="돋움체"/>
      <family val="3"/>
      <charset val="129"/>
    </font>
    <font>
      <sz val="11"/>
      <color theme="1"/>
      <name val="맑은 고딕"/>
      <family val="2"/>
    </font>
    <font>
      <sz val="12"/>
      <color theme="1"/>
      <name val="맑은 고딕"/>
      <family val="2"/>
    </font>
    <font>
      <sz val="12"/>
      <color rgb="FF222222"/>
      <name val="맑은 고딕"/>
      <family val="2"/>
    </font>
    <font>
      <sz val="12"/>
      <color rgb="FFFFFFFF"/>
      <name val="맑은 고딕"/>
      <family val="2"/>
    </font>
    <font>
      <sz val="12"/>
      <color rgb="FFC0392B"/>
      <name val="맑은 고딕"/>
      <family val="2"/>
    </font>
    <font>
      <sz val="12"/>
      <color rgb="FF555555"/>
      <name val="맑은 고딕"/>
      <family val="2"/>
    </font>
    <font>
      <sz val="12"/>
      <color rgb="FF1A6B3A"/>
      <name val="맑은 고딕"/>
      <family val="2"/>
    </font>
    <font>
      <sz val="12"/>
      <color rgb="FF1E3A5F"/>
      <name val="맑은 고딕"/>
      <family val="2"/>
    </font>
    <font>
      <sz val="12"/>
      <color theme="1"/>
      <name val="맑은 고딕"/>
      <family val="2"/>
      <charset val="129"/>
    </font>
    <font>
      <sz val="12"/>
      <color rgb="FF1E3A5F"/>
      <name val="맑은 고딕"/>
      <family val="2"/>
      <charset val="129"/>
    </font>
    <font>
      <sz val="10"/>
      <color theme="1"/>
      <name val="맑은 고딕"/>
      <family val="2"/>
    </font>
    <font>
      <sz val="12"/>
      <color rgb="FFFF0000"/>
      <name val="맑은 고딕"/>
      <family val="2"/>
    </font>
    <font>
      <b/>
      <sz val="14"/>
      <color theme="1"/>
      <name val="맑은 고딕"/>
      <family val="2"/>
      <charset val="129"/>
    </font>
    <font>
      <b/>
      <sz val="14"/>
      <color theme="1"/>
      <name val="맑은 고딕"/>
      <family val="2"/>
    </font>
    <font>
      <i/>
      <sz val="9"/>
      <color theme="1"/>
      <name val="맑은 고딕"/>
      <family val="2"/>
      <charset val="129"/>
    </font>
    <font>
      <i/>
      <sz val="9"/>
      <color theme="1"/>
      <name val="맑은 고딕"/>
      <family val="2"/>
    </font>
    <font>
      <b/>
      <sz val="9"/>
      <color theme="1"/>
      <name val="맑은 고딕"/>
      <family val="2"/>
    </font>
    <font>
      <sz val="11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D6E4F0"/>
        <bgColor rgb="FFE8F0F8"/>
      </patternFill>
    </fill>
    <fill>
      <patternFill patternType="solid">
        <fgColor theme="0" tint="-4.9989318521683403E-2"/>
        <bgColor rgb="FF3366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0" tint="-4.9989318521683403E-2"/>
        <bgColor rgb="FF333399"/>
      </patternFill>
    </fill>
  </fills>
  <borders count="3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E6DA4"/>
      </left>
      <right/>
      <top style="medium">
        <color rgb="FF2E6DA4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2E6DA4"/>
      </left>
      <right/>
      <top style="medium">
        <color indexed="64"/>
      </top>
      <bottom/>
      <diagonal/>
    </border>
    <border>
      <left style="medium">
        <color rgb="FF2E6DA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2E6DA4"/>
      </top>
      <bottom/>
      <diagonal/>
    </border>
    <border>
      <left style="medium">
        <color rgb="FF2E6DA4"/>
      </left>
      <right style="medium">
        <color indexed="64"/>
      </right>
      <top style="medium">
        <color rgb="FF2E6DA4"/>
      </top>
      <bottom/>
      <diagonal/>
    </border>
    <border>
      <left style="medium">
        <color indexed="64"/>
      </left>
      <right/>
      <top style="medium">
        <color rgb="FF2E6DA4"/>
      </top>
      <bottom style="medium">
        <color indexed="64"/>
      </bottom>
      <diagonal/>
    </border>
    <border>
      <left style="medium">
        <color rgb="FF2E6DA4"/>
      </left>
      <right/>
      <top style="medium">
        <color rgb="FF2E6DA4"/>
      </top>
      <bottom style="medium">
        <color indexed="64"/>
      </bottom>
      <diagonal/>
    </border>
    <border>
      <left style="medium">
        <color rgb="FF2E6DA4"/>
      </left>
      <right style="medium">
        <color indexed="64"/>
      </right>
      <top style="medium">
        <color rgb="FF2E6DA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3" fontId="6" fillId="0" borderId="9" xfId="0" applyNumberFormat="1" applyFont="1" applyFill="1" applyBorder="1" applyAlignment="1">
      <alignment horizontal="center" vertical="center"/>
    </xf>
    <xf numFmtId="178" fontId="8" fillId="0" borderId="21" xfId="0" applyNumberFormat="1" applyFont="1" applyFill="1" applyBorder="1" applyAlignment="1">
      <alignment horizontal="center" vertical="center"/>
    </xf>
    <xf numFmtId="178" fontId="9" fillId="0" borderId="21" xfId="0" applyNumberFormat="1" applyFont="1" applyFill="1" applyBorder="1" applyAlignment="1">
      <alignment horizontal="center" vertical="center"/>
    </xf>
    <xf numFmtId="178" fontId="10" fillId="0" borderId="21" xfId="0" applyNumberFormat="1" applyFont="1" applyFill="1" applyBorder="1" applyAlignment="1">
      <alignment horizontal="center" vertical="center"/>
    </xf>
    <xf numFmtId="3" fontId="6" fillId="0" borderId="12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3" fontId="11" fillId="5" borderId="16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3" fontId="8" fillId="5" borderId="15" xfId="0" applyNumberFormat="1" applyFont="1" applyFill="1" applyBorder="1" applyAlignment="1">
      <alignment horizontal="center" vertical="center"/>
    </xf>
    <xf numFmtId="177" fontId="8" fillId="5" borderId="16" xfId="0" applyNumberFormat="1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left" vertical="top" wrapText="1"/>
    </xf>
    <xf numFmtId="0" fontId="13" fillId="6" borderId="25" xfId="0" applyFont="1" applyFill="1" applyBorder="1" applyAlignment="1">
      <alignment horizontal="left" vertical="top" wrapText="1"/>
    </xf>
    <xf numFmtId="0" fontId="13" fillId="6" borderId="26" xfId="0" applyFont="1" applyFill="1" applyBorder="1" applyAlignment="1">
      <alignment horizontal="left" vertical="top" wrapText="1"/>
    </xf>
    <xf numFmtId="0" fontId="13" fillId="6" borderId="27" xfId="0" applyFont="1" applyFill="1" applyBorder="1" applyAlignment="1">
      <alignment horizontal="left" vertical="top" wrapText="1"/>
    </xf>
    <xf numFmtId="0" fontId="13" fillId="6" borderId="2" xfId="0" applyFont="1" applyFill="1" applyBorder="1" applyAlignment="1">
      <alignment horizontal="left" vertical="top" wrapText="1"/>
    </xf>
    <xf numFmtId="0" fontId="13" fillId="6" borderId="28" xfId="0" applyFont="1" applyFill="1" applyBorder="1" applyAlignment="1">
      <alignment horizontal="left" vertical="top" wrapText="1"/>
    </xf>
    <xf numFmtId="0" fontId="13" fillId="6" borderId="29" xfId="0" applyFont="1" applyFill="1" applyBorder="1" applyAlignment="1">
      <alignment horizontal="left" vertical="top" wrapText="1"/>
    </xf>
    <xf numFmtId="0" fontId="13" fillId="6" borderId="30" xfId="0" applyFont="1" applyFill="1" applyBorder="1" applyAlignment="1">
      <alignment horizontal="left" vertical="top" wrapText="1"/>
    </xf>
    <xf numFmtId="0" fontId="13" fillId="6" borderId="31" xfId="0" applyFont="1" applyFill="1" applyBorder="1" applyAlignment="1">
      <alignment horizontal="left" vertical="top" wrapText="1"/>
    </xf>
    <xf numFmtId="0" fontId="16" fillId="7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4" fillId="0" borderId="0" xfId="0" applyFont="1"/>
    <xf numFmtId="0" fontId="20" fillId="3" borderId="1" xfId="0" applyFont="1" applyFill="1" applyBorder="1" applyAlignment="1">
      <alignment horizontal="center" vertical="center"/>
    </xf>
    <xf numFmtId="0" fontId="21" fillId="0" borderId="0" xfId="0" applyFont="1"/>
    <xf numFmtId="0" fontId="22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BDC3C7"/>
      <rgbColor rgb="FF777777"/>
      <rgbColor rgb="FFAAAAAA"/>
      <rgbColor rgb="FF993366"/>
      <rgbColor rgb="FFFFF8E1"/>
      <rgbColor rgb="FFE8F5E9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EFF6FF"/>
      <rgbColor rgb="FFFDECEA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E65100"/>
      <rgbColor rgb="FF555555"/>
      <rgbColor rgb="FF999999"/>
      <rgbColor rgb="FF1E3A5F"/>
      <rgbColor rgb="FF339966"/>
      <rgbColor rgb="FF003300"/>
      <rgbColor rgb="FF333300"/>
      <rgbColor rgb="FFC0392B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abSelected="1" zoomScaleNormal="100" workbookViewId="0">
      <selection activeCell="K28" sqref="K28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.33203125" customWidth="1"/>
    <col min="4" max="4" width="13.109375" customWidth="1"/>
    <col min="5" max="5" width="14" customWidth="1"/>
    <col min="6" max="6" width="16.33203125" customWidth="1"/>
    <col min="7" max="7" width="16.6640625" customWidth="1"/>
    <col min="8" max="8" width="14" customWidth="1"/>
    <col min="9" max="9" width="16.44140625" customWidth="1"/>
  </cols>
  <sheetData>
    <row r="1" spans="1:9" ht="33.75" customHeight="1" x14ac:dyDescent="0.3">
      <c r="A1" s="50" t="s">
        <v>44</v>
      </c>
      <c r="B1" s="51"/>
      <c r="C1" s="51"/>
      <c r="D1" s="51"/>
      <c r="E1" s="51"/>
      <c r="F1" s="51"/>
      <c r="G1" s="51"/>
      <c r="H1" s="51"/>
      <c r="I1" s="51"/>
    </row>
    <row r="2" spans="1:9" s="53" customFormat="1" ht="19.8" customHeight="1" x14ac:dyDescent="0.4">
      <c r="A2" s="52" t="s">
        <v>49</v>
      </c>
      <c r="B2" s="52"/>
      <c r="C2" s="52"/>
      <c r="D2" s="52"/>
      <c r="E2" s="52"/>
      <c r="F2" s="52"/>
      <c r="G2" s="52"/>
      <c r="H2" s="52"/>
      <c r="I2" s="52"/>
    </row>
    <row r="3" spans="1:9" s="53" customFormat="1" ht="19.8" customHeight="1" x14ac:dyDescent="0.4">
      <c r="B3" s="54" t="s">
        <v>45</v>
      </c>
      <c r="D3" s="54" t="s">
        <v>46</v>
      </c>
      <c r="F3" s="54" t="s">
        <v>47</v>
      </c>
      <c r="H3" s="54" t="s">
        <v>48</v>
      </c>
    </row>
    <row r="4" spans="1:9" ht="25.5" customHeight="1" x14ac:dyDescent="0.3">
      <c r="B4" s="1">
        <v>1116000</v>
      </c>
      <c r="D4" s="1">
        <v>472500</v>
      </c>
      <c r="F4" s="2">
        <f>D4-B4</f>
        <v>-643500</v>
      </c>
      <c r="H4" s="3">
        <f>(D4-B4)/B4</f>
        <v>-0.57661290322580649</v>
      </c>
    </row>
    <row r="5" spans="1:9" s="55" customFormat="1" ht="17.399999999999999" customHeight="1" thickBot="1" x14ac:dyDescent="0.45">
      <c r="B5" s="56" t="s">
        <v>0</v>
      </c>
      <c r="D5" s="56" t="s">
        <v>0</v>
      </c>
      <c r="F5" s="56" t="s">
        <v>0</v>
      </c>
      <c r="H5" s="56" t="s">
        <v>1</v>
      </c>
    </row>
    <row r="6" spans="1:9" ht="20.399999999999999" customHeight="1" x14ac:dyDescent="0.3">
      <c r="A6" s="4" t="s">
        <v>2</v>
      </c>
      <c r="B6" s="5" t="s">
        <v>34</v>
      </c>
      <c r="C6" s="18" t="s">
        <v>3</v>
      </c>
      <c r="D6" s="26" t="s">
        <v>35</v>
      </c>
      <c r="E6" s="27"/>
      <c r="F6" s="26" t="s">
        <v>36</v>
      </c>
      <c r="G6" s="27"/>
      <c r="H6" s="24" t="s">
        <v>40</v>
      </c>
      <c r="I6" s="6" t="s">
        <v>41</v>
      </c>
    </row>
    <row r="7" spans="1:9" ht="20.399999999999999" customHeight="1" x14ac:dyDescent="0.3">
      <c r="A7" s="7"/>
      <c r="B7" s="8"/>
      <c r="C7" s="19"/>
      <c r="D7" s="22" t="s">
        <v>37</v>
      </c>
      <c r="E7" s="23" t="s">
        <v>39</v>
      </c>
      <c r="F7" s="22" t="s">
        <v>37</v>
      </c>
      <c r="G7" s="23" t="s">
        <v>38</v>
      </c>
      <c r="H7" s="25"/>
      <c r="I7" s="9"/>
    </row>
    <row r="8" spans="1:9" ht="18" customHeight="1" x14ac:dyDescent="0.3">
      <c r="A8" s="10">
        <v>1</v>
      </c>
      <c r="B8" s="11" t="s">
        <v>4</v>
      </c>
      <c r="C8" s="20" t="s">
        <v>5</v>
      </c>
      <c r="D8" s="10">
        <v>1</v>
      </c>
      <c r="E8" s="28">
        <v>340000</v>
      </c>
      <c r="F8" s="10" t="s">
        <v>6</v>
      </c>
      <c r="G8" s="28" t="s">
        <v>6</v>
      </c>
      <c r="H8" s="29">
        <v>-340000</v>
      </c>
      <c r="I8" s="12"/>
    </row>
    <row r="9" spans="1:9" ht="18" customHeight="1" x14ac:dyDescent="0.3">
      <c r="A9" s="10">
        <v>2</v>
      </c>
      <c r="B9" s="11" t="s">
        <v>7</v>
      </c>
      <c r="C9" s="20" t="s">
        <v>8</v>
      </c>
      <c r="D9" s="10">
        <v>6</v>
      </c>
      <c r="E9" s="28">
        <v>294000</v>
      </c>
      <c r="F9" s="10" t="s">
        <v>6</v>
      </c>
      <c r="G9" s="28" t="s">
        <v>6</v>
      </c>
      <c r="H9" s="29">
        <v>-294000</v>
      </c>
      <c r="I9" s="12"/>
    </row>
    <row r="10" spans="1:9" ht="18" customHeight="1" x14ac:dyDescent="0.3">
      <c r="A10" s="10">
        <v>3</v>
      </c>
      <c r="B10" s="11" t="s">
        <v>9</v>
      </c>
      <c r="C10" s="20" t="s">
        <v>10</v>
      </c>
      <c r="D10" s="10">
        <v>20</v>
      </c>
      <c r="E10" s="28">
        <v>240000</v>
      </c>
      <c r="F10" s="10" t="s">
        <v>6</v>
      </c>
      <c r="G10" s="28" t="s">
        <v>6</v>
      </c>
      <c r="H10" s="29">
        <v>-240000</v>
      </c>
      <c r="I10" s="12"/>
    </row>
    <row r="11" spans="1:9" ht="18" customHeight="1" x14ac:dyDescent="0.3">
      <c r="A11" s="10">
        <v>4</v>
      </c>
      <c r="B11" s="11" t="s">
        <v>11</v>
      </c>
      <c r="C11" s="20" t="s">
        <v>12</v>
      </c>
      <c r="D11" s="10">
        <v>4</v>
      </c>
      <c r="E11" s="28">
        <v>52000</v>
      </c>
      <c r="F11" s="10" t="s">
        <v>6</v>
      </c>
      <c r="G11" s="28" t="s">
        <v>6</v>
      </c>
      <c r="H11" s="29">
        <v>-52000</v>
      </c>
      <c r="I11" s="12"/>
    </row>
    <row r="12" spans="1:9" ht="18" customHeight="1" x14ac:dyDescent="0.3">
      <c r="A12" s="10">
        <v>5</v>
      </c>
      <c r="B12" s="11" t="s">
        <v>13</v>
      </c>
      <c r="C12" s="20" t="s">
        <v>14</v>
      </c>
      <c r="D12" s="10">
        <v>40</v>
      </c>
      <c r="E12" s="28">
        <v>52000</v>
      </c>
      <c r="F12" s="10" t="s">
        <v>6</v>
      </c>
      <c r="G12" s="28" t="s">
        <v>6</v>
      </c>
      <c r="H12" s="29">
        <v>-52000</v>
      </c>
      <c r="I12" s="12"/>
    </row>
    <row r="13" spans="1:9" ht="18" customHeight="1" x14ac:dyDescent="0.3">
      <c r="A13" s="10">
        <v>6</v>
      </c>
      <c r="B13" s="11" t="s">
        <v>15</v>
      </c>
      <c r="C13" s="20" t="s">
        <v>16</v>
      </c>
      <c r="D13" s="10">
        <v>4</v>
      </c>
      <c r="E13" s="28">
        <v>52000</v>
      </c>
      <c r="F13" s="10" t="s">
        <v>6</v>
      </c>
      <c r="G13" s="28" t="s">
        <v>6</v>
      </c>
      <c r="H13" s="29">
        <v>-52000</v>
      </c>
      <c r="I13" s="12"/>
    </row>
    <row r="14" spans="1:9" ht="18" customHeight="1" x14ac:dyDescent="0.3">
      <c r="A14" s="10">
        <v>7</v>
      </c>
      <c r="B14" s="11" t="s">
        <v>17</v>
      </c>
      <c r="C14" s="20" t="s">
        <v>18</v>
      </c>
      <c r="D14" s="10">
        <v>1</v>
      </c>
      <c r="E14" s="28">
        <v>32000</v>
      </c>
      <c r="F14" s="10" t="s">
        <v>6</v>
      </c>
      <c r="G14" s="28" t="s">
        <v>6</v>
      </c>
      <c r="H14" s="29">
        <v>-32000</v>
      </c>
      <c r="I14" s="12"/>
    </row>
    <row r="15" spans="1:9" ht="18" customHeight="1" x14ac:dyDescent="0.3">
      <c r="A15" s="10">
        <v>8</v>
      </c>
      <c r="B15" s="11" t="s">
        <v>19</v>
      </c>
      <c r="C15" s="20" t="s">
        <v>20</v>
      </c>
      <c r="D15" s="10">
        <v>3</v>
      </c>
      <c r="E15" s="28">
        <v>27000</v>
      </c>
      <c r="F15" s="10" t="s">
        <v>6</v>
      </c>
      <c r="G15" s="28" t="s">
        <v>6</v>
      </c>
      <c r="H15" s="29">
        <v>-27000</v>
      </c>
      <c r="I15" s="12"/>
    </row>
    <row r="16" spans="1:9" ht="18" customHeight="1" x14ac:dyDescent="0.3">
      <c r="A16" s="10">
        <v>9</v>
      </c>
      <c r="B16" s="11" t="s">
        <v>21</v>
      </c>
      <c r="C16" s="20" t="s">
        <v>22</v>
      </c>
      <c r="D16" s="10">
        <v>2</v>
      </c>
      <c r="E16" s="28">
        <v>24000</v>
      </c>
      <c r="F16" s="10">
        <v>1</v>
      </c>
      <c r="G16" s="28">
        <v>9500</v>
      </c>
      <c r="H16" s="29">
        <v>-14500</v>
      </c>
      <c r="I16" s="12"/>
    </row>
    <row r="17" spans="1:9" ht="18" customHeight="1" x14ac:dyDescent="0.3">
      <c r="A17" s="10">
        <v>10</v>
      </c>
      <c r="B17" s="11" t="s">
        <v>23</v>
      </c>
      <c r="C17" s="20" t="s">
        <v>6</v>
      </c>
      <c r="D17" s="10">
        <v>1</v>
      </c>
      <c r="E17" s="28">
        <v>3000</v>
      </c>
      <c r="F17" s="10">
        <v>1</v>
      </c>
      <c r="G17" s="28">
        <v>3000</v>
      </c>
      <c r="H17" s="30">
        <v>0</v>
      </c>
      <c r="I17" s="13" t="s">
        <v>42</v>
      </c>
    </row>
    <row r="18" spans="1:9" ht="18" customHeight="1" x14ac:dyDescent="0.3">
      <c r="A18" s="10">
        <v>11</v>
      </c>
      <c r="B18" s="11" t="s">
        <v>24</v>
      </c>
      <c r="C18" s="20" t="s">
        <v>25</v>
      </c>
      <c r="D18" s="10" t="s">
        <v>6</v>
      </c>
      <c r="E18" s="28" t="s">
        <v>6</v>
      </c>
      <c r="F18" s="10">
        <v>10</v>
      </c>
      <c r="G18" s="28">
        <v>290000</v>
      </c>
      <c r="H18" s="31">
        <v>290000</v>
      </c>
      <c r="I18" s="14"/>
    </row>
    <row r="19" spans="1:9" ht="18" customHeight="1" x14ac:dyDescent="0.3">
      <c r="A19" s="10">
        <v>12</v>
      </c>
      <c r="B19" s="11" t="s">
        <v>26</v>
      </c>
      <c r="C19" s="20" t="s">
        <v>20</v>
      </c>
      <c r="D19" s="10" t="s">
        <v>6</v>
      </c>
      <c r="E19" s="28" t="s">
        <v>6</v>
      </c>
      <c r="F19" s="10">
        <v>1</v>
      </c>
      <c r="G19" s="28">
        <v>120000</v>
      </c>
      <c r="H19" s="31">
        <v>120000</v>
      </c>
      <c r="I19" s="14"/>
    </row>
    <row r="20" spans="1:9" ht="18" customHeight="1" x14ac:dyDescent="0.3">
      <c r="A20" s="10">
        <v>13</v>
      </c>
      <c r="B20" s="11" t="s">
        <v>27</v>
      </c>
      <c r="C20" s="20" t="s">
        <v>28</v>
      </c>
      <c r="D20" s="10" t="s">
        <v>6</v>
      </c>
      <c r="E20" s="28" t="s">
        <v>6</v>
      </c>
      <c r="F20" s="10">
        <v>5</v>
      </c>
      <c r="G20" s="28">
        <v>30000</v>
      </c>
      <c r="H20" s="31">
        <v>30000</v>
      </c>
      <c r="I20" s="14"/>
    </row>
    <row r="21" spans="1:9" ht="18" customHeight="1" thickBot="1" x14ac:dyDescent="0.35">
      <c r="A21" s="15">
        <v>14</v>
      </c>
      <c r="B21" s="16" t="s">
        <v>29</v>
      </c>
      <c r="C21" s="21" t="s">
        <v>30</v>
      </c>
      <c r="D21" s="15" t="s">
        <v>6</v>
      </c>
      <c r="E21" s="32" t="s">
        <v>6</v>
      </c>
      <c r="F21" s="15">
        <v>10</v>
      </c>
      <c r="G21" s="32">
        <v>20000</v>
      </c>
      <c r="H21" s="33">
        <v>20000</v>
      </c>
      <c r="I21" s="17"/>
    </row>
    <row r="22" spans="1:9" ht="21.75" customHeight="1" thickBot="1" x14ac:dyDescent="0.35">
      <c r="A22" s="34" t="s">
        <v>31</v>
      </c>
      <c r="B22" s="35"/>
      <c r="C22" s="35"/>
      <c r="D22" s="36"/>
      <c r="E22" s="37">
        <f>SUMIF(E8:E21,"&gt;0",E8:E21)</f>
        <v>1116000</v>
      </c>
      <c r="F22" s="38"/>
      <c r="G22" s="37">
        <f>SUMIF(G8:G21,"&gt;0",G8:G21)</f>
        <v>472500</v>
      </c>
      <c r="H22" s="39">
        <f>G22-E22</f>
        <v>-643500</v>
      </c>
      <c r="I22" s="40">
        <f>H22/E22</f>
        <v>-0.57661290322580649</v>
      </c>
    </row>
    <row r="24" spans="1:9" s="53" customFormat="1" ht="17.399999999999999" customHeight="1" thickBot="1" x14ac:dyDescent="0.45">
      <c r="A24" s="57" t="s">
        <v>50</v>
      </c>
      <c r="C24" s="57" t="s">
        <v>32</v>
      </c>
      <c r="E24" s="57" t="s">
        <v>33</v>
      </c>
      <c r="G24" s="57" t="s">
        <v>51</v>
      </c>
    </row>
    <row r="25" spans="1:9" ht="15" customHeight="1" thickBot="1" x14ac:dyDescent="0.35">
      <c r="A25" s="41" t="s">
        <v>43</v>
      </c>
      <c r="B25" s="42"/>
      <c r="C25" s="42"/>
      <c r="D25" s="42"/>
      <c r="E25" s="42"/>
      <c r="F25" s="42"/>
      <c r="G25" s="42"/>
      <c r="H25" s="42"/>
      <c r="I25" s="43"/>
    </row>
    <row r="26" spans="1:9" ht="15" customHeight="1" thickBot="1" x14ac:dyDescent="0.35">
      <c r="A26" s="44"/>
      <c r="B26" s="45"/>
      <c r="C26" s="45"/>
      <c r="D26" s="45"/>
      <c r="E26" s="45"/>
      <c r="F26" s="45"/>
      <c r="G26" s="45"/>
      <c r="H26" s="45"/>
      <c r="I26" s="46"/>
    </row>
    <row r="27" spans="1:9" ht="15" customHeight="1" thickBot="1" x14ac:dyDescent="0.35">
      <c r="A27" s="44"/>
      <c r="B27" s="45"/>
      <c r="C27" s="45"/>
      <c r="D27" s="45"/>
      <c r="E27" s="45"/>
      <c r="F27" s="45"/>
      <c r="G27" s="45"/>
      <c r="H27" s="45"/>
      <c r="I27" s="46"/>
    </row>
    <row r="28" spans="1:9" ht="55.8" customHeight="1" thickBot="1" x14ac:dyDescent="0.35">
      <c r="A28" s="47"/>
      <c r="B28" s="48"/>
      <c r="C28" s="48"/>
      <c r="D28" s="48"/>
      <c r="E28" s="48"/>
      <c r="F28" s="48"/>
      <c r="G28" s="48"/>
      <c r="H28" s="48"/>
      <c r="I28" s="49"/>
    </row>
  </sheetData>
  <mergeCells count="11">
    <mergeCell ref="A1:I1"/>
    <mergeCell ref="A2:I2"/>
    <mergeCell ref="A25:I28"/>
    <mergeCell ref="D6:E6"/>
    <mergeCell ref="F6:G6"/>
    <mergeCell ref="A6:A7"/>
    <mergeCell ref="B6:B7"/>
    <mergeCell ref="C6:C7"/>
    <mergeCell ref="H6:H7"/>
    <mergeCell ref="I6:I7"/>
    <mergeCell ref="A22:C22"/>
  </mergeCells>
  <phoneticPr fontId="3" type="noConversion"/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구매비품 증감분석(3→4월)</vt:lpstr>
      <vt:lpstr>'구매비품 증감분석(3→4월)'!Print_Titles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</cp:lastModifiedBy>
  <cp:revision>0</cp:revision>
  <dcterms:created xsi:type="dcterms:W3CDTF">2026-04-25T07:00:09Z</dcterms:created>
  <dcterms:modified xsi:type="dcterms:W3CDTF">2026-04-25T07:50:32Z</dcterms:modified>
  <dc:language>en-US</dc:language>
</cp:coreProperties>
</file>