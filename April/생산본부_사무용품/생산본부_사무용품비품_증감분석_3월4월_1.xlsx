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기안보고_2026\April\"/>
    </mc:Choice>
  </mc:AlternateContent>
  <bookViews>
    <workbookView xWindow="0" yWindow="0" windowWidth="23040" windowHeight="8640"/>
  </bookViews>
  <sheets>
    <sheet name="증감분석" sheetId="1" r:id="rId1"/>
  </sheets>
  <definedNames>
    <definedName name="_xlnm.Print_Titles" localSheetId="0">증감분석!$1:$3</definedName>
  </definedNames>
  <calcPr calcId="162913"/>
</workbook>
</file>

<file path=xl/calcChain.xml><?xml version="1.0" encoding="utf-8"?>
<calcChain xmlns="http://schemas.openxmlformats.org/spreadsheetml/2006/main">
  <c r="J16" i="1" l="1"/>
  <c r="J15" i="1"/>
  <c r="I16" i="1"/>
  <c r="I15" i="1"/>
  <c r="H17" i="1"/>
  <c r="F17" i="1"/>
  <c r="E17" i="1"/>
  <c r="C17" i="1"/>
  <c r="E16" i="1"/>
  <c r="E15" i="1"/>
  <c r="J14" i="1"/>
  <c r="I14" i="1"/>
  <c r="H14" i="1"/>
  <c r="J13" i="1"/>
  <c r="I13" i="1"/>
  <c r="H13" i="1"/>
  <c r="J12" i="1"/>
  <c r="I12" i="1"/>
  <c r="H12" i="1"/>
  <c r="H11" i="1"/>
  <c r="E11" i="1"/>
  <c r="H10" i="1"/>
  <c r="E10" i="1"/>
  <c r="H9" i="1"/>
  <c r="E9" i="1"/>
  <c r="H8" i="1"/>
  <c r="E8" i="1"/>
  <c r="H7" i="1"/>
  <c r="E7" i="1"/>
  <c r="J6" i="1"/>
  <c r="I6" i="1"/>
  <c r="H6" i="1"/>
  <c r="E6" i="1"/>
  <c r="J5" i="1"/>
  <c r="I5" i="1"/>
  <c r="H5" i="1"/>
  <c r="E5" i="1"/>
  <c r="J4" i="1"/>
  <c r="I4" i="1"/>
  <c r="H4" i="1"/>
  <c r="E4" i="1"/>
  <c r="I17" i="1" l="1"/>
  <c r="J17" i="1"/>
</calcChain>
</file>

<file path=xl/sharedStrings.xml><?xml version="1.0" encoding="utf-8"?>
<sst xmlns="http://schemas.openxmlformats.org/spreadsheetml/2006/main" count="47" uniqueCount="36">
  <si>
    <t>생산본부 사무용품 및 비품 구매 증감 분석  (2025년 3월 → 4월)</t>
  </si>
  <si>
    <t>품목 정보</t>
  </si>
  <si>
    <t>3월 구매</t>
  </si>
  <si>
    <t>4월 구매</t>
  </si>
  <si>
    <t>증감 분석</t>
  </si>
  <si>
    <t>품명</t>
  </si>
  <si>
    <t>규격</t>
  </si>
  <si>
    <t>수량</t>
  </si>
  <si>
    <t>단가(원)</t>
  </si>
  <si>
    <t>금액(원)</t>
  </si>
  <si>
    <t>수량증감</t>
  </si>
  <si>
    <t>금액증감(원)</t>
  </si>
  <si>
    <t>비고</t>
  </si>
  <si>
    <t>PP 로프</t>
  </si>
  <si>
    <t>감소</t>
  </si>
  <si>
    <t>종이컵</t>
  </si>
  <si>
    <t>서진산업(100개)</t>
  </si>
  <si>
    <t>카누</t>
  </si>
  <si>
    <t>동일</t>
  </si>
  <si>
    <t>동굴레 차</t>
  </si>
  <si>
    <t>커피(마일드)</t>
  </si>
  <si>
    <t>컷터날 L</t>
  </si>
  <si>
    <t>18MM</t>
  </si>
  <si>
    <t>보루</t>
  </si>
  <si>
    <t>복사용지</t>
  </si>
  <si>
    <t>멘테이프</t>
  </si>
  <si>
    <t>신규</t>
  </si>
  <si>
    <t>커피(화이트골드)</t>
  </si>
  <si>
    <t>스탬프 도장</t>
  </si>
  <si>
    <t>하우스비닐</t>
  </si>
  <si>
    <t>핸드타올</t>
  </si>
  <si>
    <t>합  계</t>
  </si>
  <si>
    <t>※ 금액(원) = 수량 × 단가 / 증감 = 4월 - 3월</t>
  </si>
  <si>
    <t>미구매</t>
    <phoneticPr fontId="1" type="noConversion"/>
  </si>
  <si>
    <t>미구매</t>
    <phoneticPr fontId="1" type="noConversion"/>
  </si>
  <si>
    <r>
      <t xml:space="preserve">【 범례 】  ■ 신규(4월 첫 구매)   ■ 미구매   ■ (+)수량 증가   ■ </t>
    </r>
    <r>
      <rPr>
        <sz val="12"/>
        <color rgb="FFFF0000"/>
        <rFont val="맑은 고딕"/>
        <family val="2"/>
      </rPr>
      <t>(-)</t>
    </r>
    <r>
      <rPr>
        <sz val="12"/>
        <rFont val="맑은 고딕"/>
        <family val="2"/>
        <charset val="129"/>
      </rPr>
      <t>수량 감소   ■ 동일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</si>
</sst>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\+#,##0;\-#,##0;&quot;-&quot;"/>
    <numFmt numFmtId="177" formatCode="\+#,##0"/>
    <numFmt numFmtId="178" formatCode="\-#,##0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2"/>
    </font>
    <font>
      <sz val="12"/>
      <color theme="1"/>
      <name val="맑은 고딕"/>
      <family val="2"/>
    </font>
    <font>
      <sz val="12"/>
      <name val="맑은 고딕"/>
      <family val="2"/>
      <charset val="129"/>
    </font>
    <font>
      <sz val="12"/>
      <color rgb="FFFF0000"/>
      <name val="맑은 고딕"/>
      <family val="2"/>
    </font>
    <font>
      <b/>
      <sz val="12"/>
      <color rgb="FF00206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Fill="1"/>
    <xf numFmtId="0" fontId="3" fillId="0" borderId="0" xfId="0" applyFont="1"/>
    <xf numFmtId="0" fontId="2" fillId="0" borderId="0" xfId="0" applyFont="1" applyFill="1"/>
    <xf numFmtId="0" fontId="4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3" fontId="2" fillId="0" borderId="5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3" fontId="2" fillId="0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2" fillId="2" borderId="17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78" fontId="5" fillId="0" borderId="5" xfId="0" applyNumberFormat="1" applyFont="1" applyFill="1" applyBorder="1" applyAlignment="1">
      <alignment horizontal="center" vertical="center"/>
    </xf>
    <xf numFmtId="178" fontId="5" fillId="0" borderId="14" xfId="0" applyNumberFormat="1" applyFont="1" applyFill="1" applyBorder="1" applyAlignment="1">
      <alignment horizontal="center" vertical="center"/>
    </xf>
    <xf numFmtId="176" fontId="6" fillId="2" borderId="17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76" fontId="5" fillId="2" borderId="17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868680</xdr:colOff>
          <xdr:row>21</xdr:row>
          <xdr:rowOff>137160</xdr:rowOff>
        </xdr:from>
        <xdr:to>
          <xdr:col>25</xdr:col>
          <xdr:colOff>632460</xdr:colOff>
          <xdr:row>40</xdr:row>
          <xdr:rowOff>91440</xdr:rowOff>
        </xdr:to>
        <xdr:pic>
          <xdr:nvPicPr>
            <xdr:cNvPr id="2" name="그림 1"/>
            <xdr:cNvPicPr>
              <a:picLocks noChangeAspect="1" noChangeArrowheads="1"/>
              <a:extLst>
                <a:ext uri="{84589F7E-364E-4C9E-8A38-B11213B215E9}">
                  <a14:cameraTool cellRange="$A$2:$K$20" spid="_x0000_s10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012680" y="5295900"/>
              <a:ext cx="10523220" cy="45872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topLeftCell="A7" workbookViewId="0">
      <selection activeCell="A2" sqref="A2:K20"/>
    </sheetView>
  </sheetViews>
  <sheetFormatPr defaultRowHeight="19.2" x14ac:dyDescent="0.45"/>
  <cols>
    <col min="1" max="1" width="22" style="2" customWidth="1"/>
    <col min="2" max="2" width="16" style="2" customWidth="1"/>
    <col min="3" max="3" width="8" style="2" customWidth="1"/>
    <col min="4" max="4" width="12" style="2" customWidth="1"/>
    <col min="5" max="5" width="10" style="2" customWidth="1"/>
    <col min="6" max="6" width="8" style="2" customWidth="1"/>
    <col min="7" max="7" width="12" style="2" customWidth="1"/>
    <col min="8" max="9" width="10" style="2" customWidth="1"/>
    <col min="10" max="10" width="12" style="2" customWidth="1"/>
    <col min="11" max="11" width="18" style="2" customWidth="1"/>
    <col min="12" max="16384" width="8.796875" style="2"/>
  </cols>
  <sheetData>
    <row r="1" spans="1:11" ht="26.4" customHeight="1" thickBot="1" x14ac:dyDescent="0.5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5.8" customHeight="1" x14ac:dyDescent="0.45">
      <c r="A2" s="17" t="s">
        <v>1</v>
      </c>
      <c r="B2" s="18"/>
      <c r="C2" s="19" t="s">
        <v>2</v>
      </c>
      <c r="D2" s="18"/>
      <c r="E2" s="18"/>
      <c r="F2" s="19" t="s">
        <v>3</v>
      </c>
      <c r="G2" s="18"/>
      <c r="H2" s="18"/>
      <c r="I2" s="19" t="s">
        <v>4</v>
      </c>
      <c r="J2" s="18"/>
      <c r="K2" s="20"/>
    </row>
    <row r="3" spans="1:11" ht="22.05" customHeight="1" thickBot="1" x14ac:dyDescent="0.5">
      <c r="A3" s="21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3" t="s">
        <v>12</v>
      </c>
    </row>
    <row r="4" spans="1:11" ht="18" customHeight="1" x14ac:dyDescent="0.45">
      <c r="A4" s="12" t="s">
        <v>13</v>
      </c>
      <c r="B4" s="13"/>
      <c r="C4" s="14">
        <v>20</v>
      </c>
      <c r="D4" s="14">
        <v>3400</v>
      </c>
      <c r="E4" s="14">
        <f t="shared" ref="E4:E11" si="0">C4*D4</f>
        <v>68000</v>
      </c>
      <c r="F4" s="14">
        <v>10</v>
      </c>
      <c r="G4" s="14">
        <v>3400</v>
      </c>
      <c r="H4" s="14">
        <f t="shared" ref="H4:H14" si="1">F4*G4</f>
        <v>34000</v>
      </c>
      <c r="I4" s="15">
        <f t="shared" ref="I4:I11" si="2">F4-C4</f>
        <v>-10</v>
      </c>
      <c r="J4" s="33">
        <f t="shared" ref="J4:J11" si="3">H4-E4</f>
        <v>-34000</v>
      </c>
      <c r="K4" s="16" t="s">
        <v>14</v>
      </c>
    </row>
    <row r="5" spans="1:11" ht="18" customHeight="1" x14ac:dyDescent="0.45">
      <c r="A5" s="5" t="s">
        <v>15</v>
      </c>
      <c r="B5" s="6" t="s">
        <v>16</v>
      </c>
      <c r="C5" s="7">
        <v>6</v>
      </c>
      <c r="D5" s="7">
        <v>10000</v>
      </c>
      <c r="E5" s="7">
        <f t="shared" si="0"/>
        <v>60000</v>
      </c>
      <c r="F5" s="7">
        <v>2</v>
      </c>
      <c r="G5" s="7">
        <v>10000</v>
      </c>
      <c r="H5" s="7">
        <f t="shared" si="1"/>
        <v>20000</v>
      </c>
      <c r="I5" s="8">
        <f t="shared" si="2"/>
        <v>-4</v>
      </c>
      <c r="J5" s="34">
        <f t="shared" si="3"/>
        <v>-40000</v>
      </c>
      <c r="K5" s="9" t="s">
        <v>14</v>
      </c>
    </row>
    <row r="6" spans="1:11" ht="18" customHeight="1" x14ac:dyDescent="0.45">
      <c r="A6" s="5" t="s">
        <v>17</v>
      </c>
      <c r="B6" s="6"/>
      <c r="C6" s="7">
        <v>4</v>
      </c>
      <c r="D6" s="7">
        <v>23000</v>
      </c>
      <c r="E6" s="7">
        <f t="shared" si="0"/>
        <v>92000</v>
      </c>
      <c r="F6" s="7">
        <v>4</v>
      </c>
      <c r="G6" s="7">
        <v>23000</v>
      </c>
      <c r="H6" s="7">
        <f t="shared" si="1"/>
        <v>92000</v>
      </c>
      <c r="I6" s="8">
        <f t="shared" si="2"/>
        <v>0</v>
      </c>
      <c r="J6" s="8">
        <f t="shared" si="3"/>
        <v>0</v>
      </c>
      <c r="K6" s="9" t="s">
        <v>18</v>
      </c>
    </row>
    <row r="7" spans="1:11" ht="18" customHeight="1" x14ac:dyDescent="0.45">
      <c r="A7" s="5" t="s">
        <v>19</v>
      </c>
      <c r="B7" s="6"/>
      <c r="C7" s="7">
        <v>2</v>
      </c>
      <c r="D7" s="7">
        <v>8500</v>
      </c>
      <c r="E7" s="7">
        <f t="shared" si="0"/>
        <v>17000</v>
      </c>
      <c r="F7" s="7">
        <v>2</v>
      </c>
      <c r="G7" s="7">
        <v>8500</v>
      </c>
      <c r="H7" s="7">
        <f t="shared" si="1"/>
        <v>17000</v>
      </c>
      <c r="I7" s="8"/>
      <c r="J7" s="8"/>
      <c r="K7" s="9" t="s">
        <v>18</v>
      </c>
    </row>
    <row r="8" spans="1:11" ht="18" customHeight="1" x14ac:dyDescent="0.45">
      <c r="A8" s="5" t="s">
        <v>20</v>
      </c>
      <c r="B8" s="6"/>
      <c r="C8" s="7">
        <v>12</v>
      </c>
      <c r="D8" s="7">
        <v>27000</v>
      </c>
      <c r="E8" s="7">
        <f t="shared" si="0"/>
        <v>324000</v>
      </c>
      <c r="F8" s="7">
        <v>12</v>
      </c>
      <c r="G8" s="7">
        <v>27000</v>
      </c>
      <c r="H8" s="7">
        <f t="shared" si="1"/>
        <v>324000</v>
      </c>
      <c r="I8" s="8"/>
      <c r="J8" s="8"/>
      <c r="K8" s="9" t="s">
        <v>18</v>
      </c>
    </row>
    <row r="9" spans="1:11" ht="18" customHeight="1" x14ac:dyDescent="0.45">
      <c r="A9" s="5" t="s">
        <v>21</v>
      </c>
      <c r="B9" s="6" t="s">
        <v>22</v>
      </c>
      <c r="C9" s="7">
        <v>10</v>
      </c>
      <c r="D9" s="7">
        <v>1700</v>
      </c>
      <c r="E9" s="7">
        <f t="shared" si="0"/>
        <v>17000</v>
      </c>
      <c r="F9" s="7">
        <v>10</v>
      </c>
      <c r="G9" s="7">
        <v>1700</v>
      </c>
      <c r="H9" s="7">
        <f t="shared" si="1"/>
        <v>17000</v>
      </c>
      <c r="I9" s="8"/>
      <c r="J9" s="8"/>
      <c r="K9" s="9" t="s">
        <v>18</v>
      </c>
    </row>
    <row r="10" spans="1:11" ht="18" customHeight="1" x14ac:dyDescent="0.45">
      <c r="A10" s="5" t="s">
        <v>23</v>
      </c>
      <c r="B10" s="6"/>
      <c r="C10" s="7">
        <v>10</v>
      </c>
      <c r="D10" s="7">
        <v>4500</v>
      </c>
      <c r="E10" s="7">
        <f t="shared" si="0"/>
        <v>45000</v>
      </c>
      <c r="F10" s="7">
        <v>10</v>
      </c>
      <c r="G10" s="7">
        <v>4500</v>
      </c>
      <c r="H10" s="7">
        <f t="shared" si="1"/>
        <v>45000</v>
      </c>
      <c r="I10" s="8"/>
      <c r="J10" s="8"/>
      <c r="K10" s="9" t="s">
        <v>18</v>
      </c>
    </row>
    <row r="11" spans="1:11" ht="18" customHeight="1" x14ac:dyDescent="0.45">
      <c r="A11" s="5" t="s">
        <v>24</v>
      </c>
      <c r="B11" s="6"/>
      <c r="C11" s="7">
        <v>3</v>
      </c>
      <c r="D11" s="7">
        <v>21000</v>
      </c>
      <c r="E11" s="7">
        <f t="shared" si="0"/>
        <v>63000</v>
      </c>
      <c r="F11" s="7">
        <v>3</v>
      </c>
      <c r="G11" s="7">
        <v>21000</v>
      </c>
      <c r="H11" s="7">
        <f t="shared" si="1"/>
        <v>63000</v>
      </c>
      <c r="I11" s="8"/>
      <c r="J11" s="8"/>
      <c r="K11" s="9" t="s">
        <v>18</v>
      </c>
    </row>
    <row r="12" spans="1:11" ht="18" customHeight="1" x14ac:dyDescent="0.45">
      <c r="A12" s="5" t="s">
        <v>25</v>
      </c>
      <c r="B12" s="6"/>
      <c r="C12" s="10"/>
      <c r="D12" s="10"/>
      <c r="E12" s="6"/>
      <c r="F12" s="7">
        <v>1</v>
      </c>
      <c r="G12" s="7">
        <v>93600</v>
      </c>
      <c r="H12" s="7">
        <f t="shared" si="1"/>
        <v>93600</v>
      </c>
      <c r="I12" s="11">
        <f>F12</f>
        <v>1</v>
      </c>
      <c r="J12" s="11">
        <f>H12</f>
        <v>93600</v>
      </c>
      <c r="K12" s="9" t="s">
        <v>26</v>
      </c>
    </row>
    <row r="13" spans="1:11" ht="18" customHeight="1" x14ac:dyDescent="0.45">
      <c r="A13" s="5" t="s">
        <v>27</v>
      </c>
      <c r="B13" s="6"/>
      <c r="C13" s="10"/>
      <c r="D13" s="10"/>
      <c r="E13" s="6"/>
      <c r="F13" s="7">
        <v>8</v>
      </c>
      <c r="G13" s="7">
        <v>27000</v>
      </c>
      <c r="H13" s="7">
        <f t="shared" si="1"/>
        <v>216000</v>
      </c>
      <c r="I13" s="11">
        <f>F13</f>
        <v>8</v>
      </c>
      <c r="J13" s="11">
        <f>H13</f>
        <v>216000</v>
      </c>
      <c r="K13" s="9" t="s">
        <v>26</v>
      </c>
    </row>
    <row r="14" spans="1:11" ht="18" customHeight="1" x14ac:dyDescent="0.45">
      <c r="A14" s="5" t="s">
        <v>28</v>
      </c>
      <c r="B14" s="6"/>
      <c r="C14" s="10"/>
      <c r="D14" s="10"/>
      <c r="E14" s="6"/>
      <c r="F14" s="7">
        <v>6</v>
      </c>
      <c r="G14" s="7">
        <v>24000</v>
      </c>
      <c r="H14" s="7">
        <f t="shared" si="1"/>
        <v>144000</v>
      </c>
      <c r="I14" s="11">
        <f>F14</f>
        <v>6</v>
      </c>
      <c r="J14" s="11">
        <f>H14</f>
        <v>144000</v>
      </c>
      <c r="K14" s="9" t="s">
        <v>26</v>
      </c>
    </row>
    <row r="15" spans="1:11" ht="18" customHeight="1" x14ac:dyDescent="0.45">
      <c r="A15" s="5" t="s">
        <v>29</v>
      </c>
      <c r="B15" s="6"/>
      <c r="C15" s="7">
        <v>5</v>
      </c>
      <c r="D15" s="7">
        <v>41000</v>
      </c>
      <c r="E15" s="7">
        <f>C15*D15</f>
        <v>205000</v>
      </c>
      <c r="F15" s="10"/>
      <c r="G15" s="10"/>
      <c r="H15" s="6"/>
      <c r="I15" s="35">
        <f>C15</f>
        <v>5</v>
      </c>
      <c r="J15" s="35">
        <f>E15</f>
        <v>205000</v>
      </c>
      <c r="K15" s="9" t="s">
        <v>33</v>
      </c>
    </row>
    <row r="16" spans="1:11" ht="18" customHeight="1" thickBot="1" x14ac:dyDescent="0.5">
      <c r="A16" s="24" t="s">
        <v>30</v>
      </c>
      <c r="B16" s="25"/>
      <c r="C16" s="26">
        <v>1</v>
      </c>
      <c r="D16" s="26">
        <v>30400</v>
      </c>
      <c r="E16" s="26">
        <f>C16*D16</f>
        <v>30400</v>
      </c>
      <c r="F16" s="27"/>
      <c r="G16" s="27"/>
      <c r="H16" s="25"/>
      <c r="I16" s="36">
        <f>C16</f>
        <v>1</v>
      </c>
      <c r="J16" s="36">
        <f>E16</f>
        <v>30400</v>
      </c>
      <c r="K16" s="28" t="s">
        <v>34</v>
      </c>
    </row>
    <row r="17" spans="1:11" ht="22.05" customHeight="1" thickBot="1" x14ac:dyDescent="0.5">
      <c r="A17" s="29" t="s">
        <v>31</v>
      </c>
      <c r="B17" s="30"/>
      <c r="C17" s="31">
        <f>SUM(C4:C16)</f>
        <v>73</v>
      </c>
      <c r="D17" s="30"/>
      <c r="E17" s="31">
        <f>SUM(E4:E16)</f>
        <v>921400</v>
      </c>
      <c r="F17" s="31">
        <f>SUM(F4:F16)</f>
        <v>68</v>
      </c>
      <c r="G17" s="30"/>
      <c r="H17" s="31">
        <f>SUM(H4:H16)</f>
        <v>1065600</v>
      </c>
      <c r="I17" s="39">
        <f>F17-C17</f>
        <v>-5</v>
      </c>
      <c r="J17" s="37">
        <f>H17-E17</f>
        <v>144200</v>
      </c>
      <c r="K17" s="32"/>
    </row>
    <row r="18" spans="1:11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45">
      <c r="A19" s="38" t="s">
        <v>35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45">
      <c r="A20" s="38" t="s">
        <v>32</v>
      </c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mergeCells count="7">
    <mergeCell ref="A1:K1"/>
    <mergeCell ref="C2:E2"/>
    <mergeCell ref="A2:B2"/>
    <mergeCell ref="I2:K2"/>
    <mergeCell ref="A20:K20"/>
    <mergeCell ref="A19:K19"/>
    <mergeCell ref="F2:H2"/>
  </mergeCells>
  <phoneticPr fontId="1" type="noConversion"/>
  <pageMargins left="0.75" right="0.75" top="1" bottom="1" header="0.5" footer="0.5"/>
  <pageSetup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증감분석</vt:lpstr>
      <vt:lpstr>증감분석!Print_Titles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2026-04-25T07:26:13Z</dcterms:created>
  <dcterms:modified xsi:type="dcterms:W3CDTF">2026-04-25T08:27:05Z</dcterms:modified>
</cp:coreProperties>
</file>