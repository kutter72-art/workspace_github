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\Desktop\정민훈\월 마감자료\26년 기안보고_생산_보전_안전보건\기안보고_2026\April\"/>
    </mc:Choice>
  </mc:AlternateContent>
  <bookViews>
    <workbookView xWindow="0" yWindow="0" windowWidth="23040" windowHeight="8640"/>
  </bookViews>
  <sheets>
    <sheet name="증감분석(3→4월)" sheetId="1" r:id="rId1"/>
  </sheets>
  <definedNames>
    <definedName name="_xlnm.Print_Titles" localSheetId="0">'증감분석(3→4월)'!$1:$3</definedName>
  </definedNames>
  <calcPr calcId="162913"/>
</workbook>
</file>

<file path=xl/calcChain.xml><?xml version="1.0" encoding="utf-8"?>
<calcChain xmlns="http://schemas.openxmlformats.org/spreadsheetml/2006/main">
  <c r="F50" i="1" l="1"/>
  <c r="C50" i="1"/>
  <c r="I49" i="1"/>
  <c r="H49" i="1"/>
  <c r="J49" i="1" s="1"/>
  <c r="I48" i="1"/>
  <c r="H48" i="1"/>
  <c r="J48" i="1" s="1"/>
  <c r="I47" i="1"/>
  <c r="H47" i="1"/>
  <c r="J47" i="1" s="1"/>
  <c r="I46" i="1"/>
  <c r="H46" i="1"/>
  <c r="J46" i="1" s="1"/>
  <c r="I45" i="1"/>
  <c r="H45" i="1"/>
  <c r="J45" i="1" s="1"/>
  <c r="I44" i="1"/>
  <c r="H44" i="1"/>
  <c r="J44" i="1" s="1"/>
  <c r="I43" i="1"/>
  <c r="H43" i="1"/>
  <c r="J43" i="1" s="1"/>
  <c r="I42" i="1"/>
  <c r="H42" i="1"/>
  <c r="J42" i="1" s="1"/>
  <c r="I41" i="1"/>
  <c r="H41" i="1"/>
  <c r="J41" i="1" s="1"/>
  <c r="I40" i="1"/>
  <c r="H40" i="1"/>
  <c r="J40" i="1" s="1"/>
  <c r="I39" i="1"/>
  <c r="H39" i="1"/>
  <c r="J39" i="1" s="1"/>
  <c r="I38" i="1"/>
  <c r="H38" i="1"/>
  <c r="J38" i="1" s="1"/>
  <c r="I37" i="1"/>
  <c r="H37" i="1"/>
  <c r="J37" i="1" s="1"/>
  <c r="I36" i="1"/>
  <c r="H36" i="1"/>
  <c r="J36" i="1" s="1"/>
  <c r="I35" i="1"/>
  <c r="H35" i="1"/>
  <c r="J35" i="1" s="1"/>
  <c r="I34" i="1"/>
  <c r="H34" i="1"/>
  <c r="J34" i="1" s="1"/>
  <c r="I33" i="1"/>
  <c r="H33" i="1"/>
  <c r="J33" i="1" s="1"/>
  <c r="I32" i="1"/>
  <c r="H32" i="1"/>
  <c r="J32" i="1" s="1"/>
  <c r="I31" i="1"/>
  <c r="H31" i="1"/>
  <c r="J31" i="1" s="1"/>
  <c r="I30" i="1"/>
  <c r="H30" i="1"/>
  <c r="J30" i="1" s="1"/>
  <c r="I29" i="1"/>
  <c r="H29" i="1"/>
  <c r="J29" i="1" s="1"/>
  <c r="I28" i="1"/>
  <c r="H28" i="1"/>
  <c r="I27" i="1"/>
  <c r="E27" i="1"/>
  <c r="J27" i="1" s="1"/>
  <c r="I26" i="1"/>
  <c r="E26" i="1"/>
  <c r="J26" i="1" s="1"/>
  <c r="I25" i="1"/>
  <c r="E25" i="1"/>
  <c r="J25" i="1" s="1"/>
  <c r="I24" i="1"/>
  <c r="E24" i="1"/>
  <c r="J24" i="1" s="1"/>
  <c r="I23" i="1"/>
  <c r="E23" i="1"/>
  <c r="J23" i="1" s="1"/>
  <c r="I22" i="1"/>
  <c r="E22" i="1"/>
  <c r="J22" i="1" s="1"/>
  <c r="I21" i="1"/>
  <c r="E21" i="1"/>
  <c r="J21" i="1" s="1"/>
  <c r="I20" i="1"/>
  <c r="E20" i="1"/>
  <c r="J20" i="1" s="1"/>
  <c r="I19" i="1"/>
  <c r="E19" i="1"/>
  <c r="J19" i="1" s="1"/>
  <c r="I18" i="1"/>
  <c r="E18" i="1"/>
  <c r="J18" i="1" s="1"/>
  <c r="I17" i="1"/>
  <c r="E17" i="1"/>
  <c r="J17" i="1" s="1"/>
  <c r="I16" i="1"/>
  <c r="E16" i="1"/>
  <c r="J16" i="1" s="1"/>
  <c r="I15" i="1"/>
  <c r="E15" i="1"/>
  <c r="J15" i="1" s="1"/>
  <c r="I14" i="1"/>
  <c r="E14" i="1"/>
  <c r="J14" i="1" s="1"/>
  <c r="I13" i="1"/>
  <c r="E13" i="1"/>
  <c r="J13" i="1" s="1"/>
  <c r="I12" i="1"/>
  <c r="E12" i="1"/>
  <c r="J12" i="1" s="1"/>
  <c r="I11" i="1"/>
  <c r="E11" i="1"/>
  <c r="J11" i="1" s="1"/>
  <c r="I10" i="1"/>
  <c r="E10" i="1"/>
  <c r="J10" i="1" s="1"/>
  <c r="I9" i="1"/>
  <c r="E9" i="1"/>
  <c r="J9" i="1" s="1"/>
  <c r="I8" i="1"/>
  <c r="E8" i="1"/>
  <c r="J8" i="1" s="1"/>
  <c r="I7" i="1"/>
  <c r="E7" i="1"/>
  <c r="J7" i="1" s="1"/>
  <c r="I6" i="1"/>
  <c r="E6" i="1"/>
  <c r="J6" i="1" s="1"/>
  <c r="I5" i="1"/>
  <c r="E5" i="1"/>
  <c r="I4" i="1"/>
  <c r="E4" i="1"/>
  <c r="J4" i="1" s="1"/>
  <c r="H50" i="1" l="1"/>
  <c r="I50" i="1"/>
  <c r="J5" i="1"/>
  <c r="J28" i="1"/>
  <c r="E50" i="1"/>
  <c r="J50" i="1" l="1"/>
</calcChain>
</file>

<file path=xl/sharedStrings.xml><?xml version="1.0" encoding="utf-8"?>
<sst xmlns="http://schemas.openxmlformats.org/spreadsheetml/2006/main" count="324" uniqueCount="138">
  <si>
    <t>전기자재 구매 현황 증감분석 (3월 → 4월)</t>
  </si>
  <si>
    <t>품목 정보</t>
  </si>
  <si>
    <t>3월 구매</t>
  </si>
  <si>
    <t>4월 구매</t>
  </si>
  <si>
    <t>증감 분석</t>
  </si>
  <si>
    <t>품명</t>
  </si>
  <si>
    <t>규격</t>
  </si>
  <si>
    <t>수량</t>
  </si>
  <si>
    <t>단가(원)</t>
  </si>
  <si>
    <t>금액(원)</t>
  </si>
  <si>
    <t>수량증감</t>
  </si>
  <si>
    <t>금액증감(원)</t>
  </si>
  <si>
    <t>사용용도</t>
  </si>
  <si>
    <t>케이블타이</t>
  </si>
  <si>
    <t>270mm [500ea]</t>
  </si>
  <si>
    <t>-</t>
  </si>
  <si>
    <t>EMPR</t>
  </si>
  <si>
    <t>GMP22-2P (LS) / 22A 1a1b / 직결형</t>
  </si>
  <si>
    <t>10턴볼륨</t>
  </si>
  <si>
    <t>3590S 1K옴 [1K옴]</t>
  </si>
  <si>
    <t>릴레이소켓</t>
  </si>
  <si>
    <t>KMY4 (카콘) / 범용릴레이용</t>
  </si>
  <si>
    <t>무접점 SSR</t>
  </si>
  <si>
    <t>HSR-2D30HZN [2D30HZN]</t>
  </si>
  <si>
    <t>HSR-2D50HZN [2D50HZN]</t>
  </si>
  <si>
    <t>단상단권트랜스</t>
  </si>
  <si>
    <t>WYAU-300DW (운용) / 300VA</t>
  </si>
  <si>
    <t>LED슬림엣지</t>
  </si>
  <si>
    <t>50D KS/수연 [540×540×23(방등)]</t>
  </si>
  <si>
    <t>사기퓨즈</t>
  </si>
  <si>
    <t>KFS-B02(10×38) [B02A]</t>
  </si>
  <si>
    <t>차단기 경보접점</t>
  </si>
  <si>
    <t>AL,R상 LWT SOL (LS) ABS32-204c</t>
  </si>
  <si>
    <t>LED PL등기구 30W</t>
  </si>
  <si>
    <t>30W(-)/일자 (동양/일자형)</t>
  </si>
  <si>
    <t>LED PL등기구 50W</t>
  </si>
  <si>
    <t>50W(-)/일자 (동양/일자형)</t>
  </si>
  <si>
    <t>삼파장램프</t>
  </si>
  <si>
    <t>EL-20W(NY) [20W(NY)(50ea)]</t>
  </si>
  <si>
    <t>와이드스위치매입4구</t>
  </si>
  <si>
    <t>4구(캡형단로)</t>
  </si>
  <si>
    <t>솔밸브</t>
  </si>
  <si>
    <t>RDS3130-2G-02 [2G-02(TPC)]</t>
  </si>
  <si>
    <t>셀렉타스위치</t>
  </si>
  <si>
    <t>K25-41K-L [25Φ(카콘)]</t>
  </si>
  <si>
    <t>호이스트리모핸드</t>
  </si>
  <si>
    <t>JREMO 6KA(송신기만) (JEICO)544758</t>
  </si>
  <si>
    <t>경광등</t>
  </si>
  <si>
    <t>S100R BZ(부저) [AC110/220V]</t>
  </si>
  <si>
    <t>부저</t>
  </si>
  <si>
    <t>KH-403-2 [AC220V B66(매입)]</t>
  </si>
  <si>
    <t>ELP전선관</t>
  </si>
  <si>
    <t>30mm [30×100M]</t>
  </si>
  <si>
    <t>전선 TFR-CV</t>
  </si>
  <si>
    <t>4SQ×3C (일반)</t>
  </si>
  <si>
    <t>온도컨트롤러</t>
  </si>
  <si>
    <t>TK4S-24RR (오토닉스) / 100-240VAC</t>
  </si>
  <si>
    <t>릴레이 220VAC</t>
  </si>
  <si>
    <t>HR705-4PL 220VAC (카콘) / KMY4</t>
  </si>
  <si>
    <t>릴레이 24VDC</t>
  </si>
  <si>
    <t>HR705-4PL 24VDC (카콘) / KMY4</t>
  </si>
  <si>
    <t>근접센서</t>
  </si>
  <si>
    <t>PR12-4DN</t>
  </si>
  <si>
    <t>현장보전용</t>
  </si>
  <si>
    <t>가위</t>
  </si>
  <si>
    <t>P-300</t>
  </si>
  <si>
    <t>절연테이프</t>
  </si>
  <si>
    <t>3M-10M</t>
  </si>
  <si>
    <t>환풍기</t>
  </si>
  <si>
    <t>25파이</t>
  </si>
  <si>
    <t>휴즈</t>
  </si>
  <si>
    <t>630A</t>
  </si>
  <si>
    <t>SCR UNIT용</t>
  </si>
  <si>
    <t>마이크로 S/W</t>
  </si>
  <si>
    <t>170H0069</t>
  </si>
  <si>
    <t>배선용차단기</t>
  </si>
  <si>
    <t>ABS-33C 3P 30A</t>
  </si>
  <si>
    <t>후크메타</t>
  </si>
  <si>
    <t>HIOKI-3280-10F</t>
  </si>
  <si>
    <t>타이머</t>
  </si>
  <si>
    <t>HTS-24B</t>
  </si>
  <si>
    <t>단상권선 트랜스</t>
  </si>
  <si>
    <t>WYAU-500DW</t>
  </si>
  <si>
    <t>비상정지스위치</t>
  </si>
  <si>
    <t>KH-3046ER</t>
  </si>
  <si>
    <t>포토센서</t>
  </si>
  <si>
    <t>BA2M-DDT</t>
  </si>
  <si>
    <t>인버터</t>
  </si>
  <si>
    <t>LSLV0008G100C</t>
  </si>
  <si>
    <t>SRN-WS</t>
  </si>
  <si>
    <t>전극고정연결기</t>
  </si>
  <si>
    <t>KFS-ES-3</t>
  </si>
  <si>
    <t>HSR-2D50HZN</t>
  </si>
  <si>
    <t>전극봉</t>
  </si>
  <si>
    <t>1M</t>
  </si>
  <si>
    <t>인터폰</t>
  </si>
  <si>
    <t>KIP-611PG</t>
  </si>
  <si>
    <t>찬넬</t>
  </si>
  <si>
    <t>DIN RAIL</t>
  </si>
  <si>
    <t>릴레이 타이머</t>
  </si>
  <si>
    <t>KTM-3M10SA2</t>
  </si>
  <si>
    <t>고정식단자대</t>
  </si>
  <si>
    <t>KTB102004</t>
  </si>
  <si>
    <t>하이박스</t>
  </si>
  <si>
    <t>100×150×80</t>
  </si>
  <si>
    <t>연구진동체용</t>
  </si>
  <si>
    <t>합   계</t>
  </si>
  <si>
    <t>■ 4월 구매 주요 부품 설명 (전문용어 안내)</t>
  </si>
  <si>
    <t>부품명 / 규격</t>
  </si>
  <si>
    <t>부품 설명 및 사용 용도</t>
  </si>
  <si>
    <t>근접센서 (PR12-4DN)</t>
  </si>
  <si>
    <t>비접촉식 감지 센서. 금속 물체가 일정 거리 이내로 접근하면 신호를 출력. 설비 위치검출·카운팅 등에 사용</t>
  </si>
  <si>
    <t>무접점 SSR (HSR-2D50HZN)</t>
  </si>
  <si>
    <t>Solid State Relay. 반도체 소자로 전기 회로를 ON/OFF. 기계식 릴레이와 달리 접점 마모 없이 고속·무소음 스위칭 가능</t>
  </si>
  <si>
    <t>마이크로 S/W (170H0069)</t>
  </si>
  <si>
    <t>소형 스냅액션 스위치. 설비의 도어·리밋·위치 감지에 사용. 작은 힘으로 정확한 ON/OFF 동작</t>
  </si>
  <si>
    <t>배선용차단기 ABS-33C</t>
  </si>
  <si>
    <t>회로 과전류·단락 시 자동 차단하는 NFB(No Fuse Breaker). 3극 30A 용량. 동력 회로 보호용</t>
  </si>
  <si>
    <t>후크메타 (HIOKI-3280-10F)</t>
  </si>
  <si>
    <t>집게형 전류계. 전선을 끊지 않고 집게로 감싸 AC전류를 비접촉 측정. 현장 설비 전류 점검용</t>
  </si>
  <si>
    <t>단상권선 트랜스 (WYAU-500DW)</t>
  </si>
  <si>
    <t>단상 오토트랜스. 입력 전압을 원하는 전압으로 변환. 500VA 용량. 제어반 내 전압 조정·공급용</t>
  </si>
  <si>
    <t>포토센서 (BA2M-DDT)</t>
  </si>
  <si>
    <t>빛(적외선)을 이용한 비접촉 물체 감지 센서. 투과형/반사형으로 제품 유무·통과 여부 감지</t>
  </si>
  <si>
    <t>인버터 (LSLV0008G100C)</t>
  </si>
  <si>
    <t>LS산전 제품. AC 모터의 회전속도를 주파수 변환으로 제어하는 드라이브. 0.75kW 단상 220V 출력</t>
  </si>
  <si>
    <t>전극고정연결기 (KFS-ES-3)</t>
  </si>
  <si>
    <t>전극봉을 고정하는 소켓형 연결기. 액위 검출용 전극봉과 컨트롤러 배선 연결에 사용</t>
  </si>
  <si>
    <t>무접점 SSR / 휴즈 (SCR UNIT용)</t>
  </si>
  <si>
    <t>찬넬 / DIN RAIL</t>
  </si>
  <si>
    <t>제어반 내부에 설치하는 금속 레일. 릴레이·차단기·단자대 등 부품을 표준 규격으로 탈착 고정하는 베이스</t>
  </si>
  <si>
    <t>릴레이 타이머 (KTM-3M10SA2)</t>
  </si>
  <si>
    <t>설정 시간이 경과한 후 접점을 ON/OFF하는 타임릴레이. 설비 시퀀스 지연·인터록 제어에 사용</t>
  </si>
  <si>
    <t>하이박스 (100×150×80)</t>
  </si>
  <si>
    <t>방수·방진 플라스틱 제어함. 센서·단자 등 전기 부품을 외부 환경으로부터 보호하여 수납. 연구진동체 제어 배선용으로 사용</t>
  </si>
  <si>
    <t>전극고정연결기 / 전극봉 (1M)</t>
  </si>
  <si>
    <t>전극봉: 액체 탱크에 수직으로 삽입해 수위(液位)를 감지하는 금속 봉. 전극 컨트롤러와 조합하여 레벨 제어</t>
  </si>
  <si>
    <t>SCR UNIT = Silicon Controlled Rectifier 제어유닛. 히터·발열체 전력 제어 장치에 내장된 전력 소자. 해당 유닛의 보호·교체용 부품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</si>
</sst>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+#,##0;\-#,##0;&quot;-&quot;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name val="맑은 고딕"/>
      <family val="2"/>
      <scheme val="minor"/>
    </font>
    <font>
      <sz val="12"/>
      <name val="맑은 고딕"/>
      <family val="2"/>
      <charset val="129"/>
      <scheme val="minor"/>
    </font>
    <font>
      <sz val="9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Fill="1"/>
    <xf numFmtId="0" fontId="2" fillId="0" borderId="0" xfId="0" applyFont="1" applyFill="1"/>
    <xf numFmtId="0" fontId="2" fillId="0" borderId="3" xfId="0" applyFont="1" applyFill="1" applyBorder="1" applyAlignment="1">
      <alignment horizontal="left" vertical="center"/>
    </xf>
    <xf numFmtId="3" fontId="2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center" wrapText="1"/>
    </xf>
    <xf numFmtId="0" fontId="2" fillId="0" borderId="12" xfId="0" applyFont="1" applyFill="1" applyBorder="1"/>
    <xf numFmtId="0" fontId="2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/>
    </xf>
    <xf numFmtId="0" fontId="2" fillId="0" borderId="9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3" fontId="2" fillId="0" borderId="13" xfId="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176" fontId="2" fillId="0" borderId="13" xfId="0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/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/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left" vertical="center"/>
    </xf>
    <xf numFmtId="0" fontId="2" fillId="0" borderId="20" xfId="0" applyFont="1" applyFill="1" applyBorder="1" applyAlignment="1">
      <alignment horizontal="center" vertical="center"/>
    </xf>
    <xf numFmtId="3" fontId="2" fillId="0" borderId="20" xfId="0" applyNumberFormat="1" applyFont="1" applyFill="1" applyBorder="1" applyAlignment="1">
      <alignment horizontal="center" vertical="center"/>
    </xf>
    <xf numFmtId="176" fontId="2" fillId="0" borderId="20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/>
    <xf numFmtId="3" fontId="2" fillId="2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76" fontId="2" fillId="2" borderId="7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3" fontId="2" fillId="3" borderId="13" xfId="0" applyNumberFormat="1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left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left" vertical="center"/>
    </xf>
    <xf numFmtId="0" fontId="2" fillId="0" borderId="2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8"/>
  <sheetViews>
    <sheetView tabSelected="1" workbookViewId="0">
      <selection activeCell="N8" sqref="N8"/>
    </sheetView>
  </sheetViews>
  <sheetFormatPr defaultRowHeight="19.2" x14ac:dyDescent="0.45"/>
  <cols>
    <col min="1" max="1" width="22" style="2" customWidth="1"/>
    <col min="2" max="2" width="28" style="2" customWidth="1"/>
    <col min="3" max="3" width="7" style="2" customWidth="1"/>
    <col min="4" max="5" width="12" style="2" customWidth="1"/>
    <col min="6" max="6" width="7" style="2" customWidth="1"/>
    <col min="7" max="8" width="12" style="2" customWidth="1"/>
    <col min="9" max="9" width="9.5" style="2" customWidth="1"/>
    <col min="10" max="10" width="13" style="2" customWidth="1"/>
    <col min="11" max="11" width="16" style="2" customWidth="1"/>
    <col min="12" max="16384" width="8.796875" style="2"/>
  </cols>
  <sheetData>
    <row r="1" spans="1:11" ht="28.05" customHeight="1" thickBot="1" x14ac:dyDescent="0.5">
      <c r="A1" s="1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2.05" customHeight="1" x14ac:dyDescent="0.45">
      <c r="A2" s="19" t="s">
        <v>1</v>
      </c>
      <c r="B2" s="20"/>
      <c r="C2" s="21" t="s">
        <v>2</v>
      </c>
      <c r="D2" s="20"/>
      <c r="E2" s="20"/>
      <c r="F2" s="21" t="s">
        <v>3</v>
      </c>
      <c r="G2" s="20"/>
      <c r="H2" s="20"/>
      <c r="I2" s="21" t="s">
        <v>4</v>
      </c>
      <c r="J2" s="20"/>
      <c r="K2" s="22"/>
    </row>
    <row r="3" spans="1:11" ht="22.05" customHeight="1" thickBot="1" x14ac:dyDescent="0.5">
      <c r="A3" s="23" t="s">
        <v>5</v>
      </c>
      <c r="B3" s="24" t="s">
        <v>6</v>
      </c>
      <c r="C3" s="24" t="s">
        <v>7</v>
      </c>
      <c r="D3" s="24" t="s">
        <v>8</v>
      </c>
      <c r="E3" s="24" t="s">
        <v>9</v>
      </c>
      <c r="F3" s="24" t="s">
        <v>7</v>
      </c>
      <c r="G3" s="24" t="s">
        <v>8</v>
      </c>
      <c r="H3" s="24" t="s">
        <v>9</v>
      </c>
      <c r="I3" s="24" t="s">
        <v>10</v>
      </c>
      <c r="J3" s="24" t="s">
        <v>11</v>
      </c>
      <c r="K3" s="25" t="s">
        <v>12</v>
      </c>
    </row>
    <row r="4" spans="1:11" ht="18" customHeight="1" x14ac:dyDescent="0.45">
      <c r="A4" s="3" t="s">
        <v>13</v>
      </c>
      <c r="B4" s="26" t="s">
        <v>14</v>
      </c>
      <c r="C4" s="4">
        <v>2</v>
      </c>
      <c r="D4" s="4">
        <v>13500</v>
      </c>
      <c r="E4" s="4">
        <f t="shared" ref="E4:E27" si="0">C4*D4</f>
        <v>27000</v>
      </c>
      <c r="F4" s="5" t="s">
        <v>15</v>
      </c>
      <c r="G4" s="5" t="s">
        <v>15</v>
      </c>
      <c r="H4" s="5" t="s">
        <v>15</v>
      </c>
      <c r="I4" s="6">
        <f t="shared" ref="I4:I27" si="1">-C4</f>
        <v>-2</v>
      </c>
      <c r="J4" s="6">
        <f t="shared" ref="J4:J27" si="2">-E4</f>
        <v>-27000</v>
      </c>
      <c r="K4" s="7" t="s">
        <v>15</v>
      </c>
    </row>
    <row r="5" spans="1:11" ht="18" customHeight="1" x14ac:dyDescent="0.45">
      <c r="A5" s="39" t="s">
        <v>16</v>
      </c>
      <c r="B5" s="27" t="s">
        <v>17</v>
      </c>
      <c r="C5" s="16">
        <v>3</v>
      </c>
      <c r="D5" s="16">
        <v>22000</v>
      </c>
      <c r="E5" s="16">
        <f t="shared" si="0"/>
        <v>66000</v>
      </c>
      <c r="F5" s="17" t="s">
        <v>15</v>
      </c>
      <c r="G5" s="17" t="s">
        <v>15</v>
      </c>
      <c r="H5" s="17" t="s">
        <v>15</v>
      </c>
      <c r="I5" s="18">
        <f t="shared" si="1"/>
        <v>-3</v>
      </c>
      <c r="J5" s="18">
        <f t="shared" si="2"/>
        <v>-66000</v>
      </c>
      <c r="K5" s="40" t="s">
        <v>15</v>
      </c>
    </row>
    <row r="6" spans="1:11" ht="18" customHeight="1" x14ac:dyDescent="0.45">
      <c r="A6" s="39" t="s">
        <v>18</v>
      </c>
      <c r="B6" s="27" t="s">
        <v>19</v>
      </c>
      <c r="C6" s="16">
        <v>5</v>
      </c>
      <c r="D6" s="16">
        <v>10400</v>
      </c>
      <c r="E6" s="16">
        <f t="shared" si="0"/>
        <v>52000</v>
      </c>
      <c r="F6" s="17" t="s">
        <v>15</v>
      </c>
      <c r="G6" s="17" t="s">
        <v>15</v>
      </c>
      <c r="H6" s="17" t="s">
        <v>15</v>
      </c>
      <c r="I6" s="18">
        <f t="shared" si="1"/>
        <v>-5</v>
      </c>
      <c r="J6" s="18">
        <f t="shared" si="2"/>
        <v>-52000</v>
      </c>
      <c r="K6" s="40" t="s">
        <v>15</v>
      </c>
    </row>
    <row r="7" spans="1:11" ht="18" customHeight="1" x14ac:dyDescent="0.45">
      <c r="A7" s="39" t="s">
        <v>20</v>
      </c>
      <c r="B7" s="27" t="s">
        <v>21</v>
      </c>
      <c r="C7" s="16">
        <v>10</v>
      </c>
      <c r="D7" s="16">
        <v>1220</v>
      </c>
      <c r="E7" s="16">
        <f t="shared" si="0"/>
        <v>12200</v>
      </c>
      <c r="F7" s="17" t="s">
        <v>15</v>
      </c>
      <c r="G7" s="17" t="s">
        <v>15</v>
      </c>
      <c r="H7" s="17" t="s">
        <v>15</v>
      </c>
      <c r="I7" s="18">
        <f t="shared" si="1"/>
        <v>-10</v>
      </c>
      <c r="J7" s="18">
        <f t="shared" si="2"/>
        <v>-12200</v>
      </c>
      <c r="K7" s="40" t="s">
        <v>15</v>
      </c>
    </row>
    <row r="8" spans="1:11" ht="18" customHeight="1" x14ac:dyDescent="0.45">
      <c r="A8" s="39" t="s">
        <v>22</v>
      </c>
      <c r="B8" s="27" t="s">
        <v>23</v>
      </c>
      <c r="C8" s="16">
        <v>5</v>
      </c>
      <c r="D8" s="16">
        <v>22000</v>
      </c>
      <c r="E8" s="16">
        <f t="shared" si="0"/>
        <v>110000</v>
      </c>
      <c r="F8" s="17" t="s">
        <v>15</v>
      </c>
      <c r="G8" s="17" t="s">
        <v>15</v>
      </c>
      <c r="H8" s="17" t="s">
        <v>15</v>
      </c>
      <c r="I8" s="18">
        <f t="shared" si="1"/>
        <v>-5</v>
      </c>
      <c r="J8" s="18">
        <f t="shared" si="2"/>
        <v>-110000</v>
      </c>
      <c r="K8" s="40" t="s">
        <v>15</v>
      </c>
    </row>
    <row r="9" spans="1:11" ht="18" customHeight="1" x14ac:dyDescent="0.45">
      <c r="A9" s="39" t="s">
        <v>22</v>
      </c>
      <c r="B9" s="27" t="s">
        <v>24</v>
      </c>
      <c r="C9" s="16">
        <v>5</v>
      </c>
      <c r="D9" s="16">
        <v>34000</v>
      </c>
      <c r="E9" s="16">
        <f t="shared" si="0"/>
        <v>170000</v>
      </c>
      <c r="F9" s="17" t="s">
        <v>15</v>
      </c>
      <c r="G9" s="17" t="s">
        <v>15</v>
      </c>
      <c r="H9" s="17" t="s">
        <v>15</v>
      </c>
      <c r="I9" s="18">
        <f t="shared" si="1"/>
        <v>-5</v>
      </c>
      <c r="J9" s="18">
        <f t="shared" si="2"/>
        <v>-170000</v>
      </c>
      <c r="K9" s="40" t="s">
        <v>15</v>
      </c>
    </row>
    <row r="10" spans="1:11" ht="18" customHeight="1" x14ac:dyDescent="0.45">
      <c r="A10" s="39" t="s">
        <v>25</v>
      </c>
      <c r="B10" s="27" t="s">
        <v>26</v>
      </c>
      <c r="C10" s="16">
        <v>2</v>
      </c>
      <c r="D10" s="16">
        <v>52000</v>
      </c>
      <c r="E10" s="16">
        <f t="shared" si="0"/>
        <v>104000</v>
      </c>
      <c r="F10" s="17" t="s">
        <v>15</v>
      </c>
      <c r="G10" s="17" t="s">
        <v>15</v>
      </c>
      <c r="H10" s="17" t="s">
        <v>15</v>
      </c>
      <c r="I10" s="18">
        <f t="shared" si="1"/>
        <v>-2</v>
      </c>
      <c r="J10" s="18">
        <f t="shared" si="2"/>
        <v>-104000</v>
      </c>
      <c r="K10" s="40" t="s">
        <v>15</v>
      </c>
    </row>
    <row r="11" spans="1:11" ht="18" customHeight="1" x14ac:dyDescent="0.45">
      <c r="A11" s="39" t="s">
        <v>27</v>
      </c>
      <c r="B11" s="27" t="s">
        <v>28</v>
      </c>
      <c r="C11" s="16">
        <v>16</v>
      </c>
      <c r="D11" s="16">
        <v>43000</v>
      </c>
      <c r="E11" s="16">
        <f t="shared" si="0"/>
        <v>688000</v>
      </c>
      <c r="F11" s="17" t="s">
        <v>15</v>
      </c>
      <c r="G11" s="17" t="s">
        <v>15</v>
      </c>
      <c r="H11" s="17" t="s">
        <v>15</v>
      </c>
      <c r="I11" s="18">
        <f t="shared" si="1"/>
        <v>-16</v>
      </c>
      <c r="J11" s="18">
        <f t="shared" si="2"/>
        <v>-688000</v>
      </c>
      <c r="K11" s="40" t="s">
        <v>15</v>
      </c>
    </row>
    <row r="12" spans="1:11" ht="18" customHeight="1" x14ac:dyDescent="0.45">
      <c r="A12" s="39" t="s">
        <v>29</v>
      </c>
      <c r="B12" s="27" t="s">
        <v>30</v>
      </c>
      <c r="C12" s="16">
        <v>10</v>
      </c>
      <c r="D12" s="16">
        <v>700</v>
      </c>
      <c r="E12" s="16">
        <f t="shared" si="0"/>
        <v>7000</v>
      </c>
      <c r="F12" s="17" t="s">
        <v>15</v>
      </c>
      <c r="G12" s="17" t="s">
        <v>15</v>
      </c>
      <c r="H12" s="17" t="s">
        <v>15</v>
      </c>
      <c r="I12" s="18">
        <f t="shared" si="1"/>
        <v>-10</v>
      </c>
      <c r="J12" s="18">
        <f t="shared" si="2"/>
        <v>-7000</v>
      </c>
      <c r="K12" s="40" t="s">
        <v>15</v>
      </c>
    </row>
    <row r="13" spans="1:11" ht="18" customHeight="1" x14ac:dyDescent="0.45">
      <c r="A13" s="39" t="s">
        <v>31</v>
      </c>
      <c r="B13" s="27" t="s">
        <v>32</v>
      </c>
      <c r="C13" s="16">
        <v>1</v>
      </c>
      <c r="D13" s="16">
        <v>9000</v>
      </c>
      <c r="E13" s="16">
        <f t="shared" si="0"/>
        <v>9000</v>
      </c>
      <c r="F13" s="17" t="s">
        <v>15</v>
      </c>
      <c r="G13" s="17" t="s">
        <v>15</v>
      </c>
      <c r="H13" s="17" t="s">
        <v>15</v>
      </c>
      <c r="I13" s="18">
        <f t="shared" si="1"/>
        <v>-1</v>
      </c>
      <c r="J13" s="18">
        <f t="shared" si="2"/>
        <v>-9000</v>
      </c>
      <c r="K13" s="40" t="s">
        <v>15</v>
      </c>
    </row>
    <row r="14" spans="1:11" ht="18" customHeight="1" x14ac:dyDescent="0.45">
      <c r="A14" s="39" t="s">
        <v>33</v>
      </c>
      <c r="B14" s="27" t="s">
        <v>34</v>
      </c>
      <c r="C14" s="16">
        <v>2</v>
      </c>
      <c r="D14" s="16">
        <v>7000</v>
      </c>
      <c r="E14" s="16">
        <f t="shared" si="0"/>
        <v>14000</v>
      </c>
      <c r="F14" s="17" t="s">
        <v>15</v>
      </c>
      <c r="G14" s="17" t="s">
        <v>15</v>
      </c>
      <c r="H14" s="17" t="s">
        <v>15</v>
      </c>
      <c r="I14" s="18">
        <f t="shared" si="1"/>
        <v>-2</v>
      </c>
      <c r="J14" s="18">
        <f t="shared" si="2"/>
        <v>-14000</v>
      </c>
      <c r="K14" s="40" t="s">
        <v>15</v>
      </c>
    </row>
    <row r="15" spans="1:11" ht="18" customHeight="1" x14ac:dyDescent="0.45">
      <c r="A15" s="39" t="s">
        <v>35</v>
      </c>
      <c r="B15" s="27" t="s">
        <v>36</v>
      </c>
      <c r="C15" s="16">
        <v>6</v>
      </c>
      <c r="D15" s="16">
        <v>15000</v>
      </c>
      <c r="E15" s="16">
        <f t="shared" si="0"/>
        <v>90000</v>
      </c>
      <c r="F15" s="17" t="s">
        <v>15</v>
      </c>
      <c r="G15" s="17" t="s">
        <v>15</v>
      </c>
      <c r="H15" s="17" t="s">
        <v>15</v>
      </c>
      <c r="I15" s="18">
        <f t="shared" si="1"/>
        <v>-6</v>
      </c>
      <c r="J15" s="18">
        <f t="shared" si="2"/>
        <v>-90000</v>
      </c>
      <c r="K15" s="40" t="s">
        <v>15</v>
      </c>
    </row>
    <row r="16" spans="1:11" ht="18" customHeight="1" x14ac:dyDescent="0.45">
      <c r="A16" s="39" t="s">
        <v>37</v>
      </c>
      <c r="B16" s="27" t="s">
        <v>38</v>
      </c>
      <c r="C16" s="16">
        <v>20</v>
      </c>
      <c r="D16" s="16">
        <v>2800</v>
      </c>
      <c r="E16" s="16">
        <f t="shared" si="0"/>
        <v>56000</v>
      </c>
      <c r="F16" s="17" t="s">
        <v>15</v>
      </c>
      <c r="G16" s="17" t="s">
        <v>15</v>
      </c>
      <c r="H16" s="17" t="s">
        <v>15</v>
      </c>
      <c r="I16" s="18">
        <f t="shared" si="1"/>
        <v>-20</v>
      </c>
      <c r="J16" s="18">
        <f t="shared" si="2"/>
        <v>-56000</v>
      </c>
      <c r="K16" s="40" t="s">
        <v>15</v>
      </c>
    </row>
    <row r="17" spans="1:11" ht="18" customHeight="1" x14ac:dyDescent="0.45">
      <c r="A17" s="39" t="s">
        <v>39</v>
      </c>
      <c r="B17" s="27" t="s">
        <v>40</v>
      </c>
      <c r="C17" s="16">
        <v>1</v>
      </c>
      <c r="D17" s="16">
        <v>4200</v>
      </c>
      <c r="E17" s="16">
        <f t="shared" si="0"/>
        <v>4200</v>
      </c>
      <c r="F17" s="17" t="s">
        <v>15</v>
      </c>
      <c r="G17" s="17" t="s">
        <v>15</v>
      </c>
      <c r="H17" s="17" t="s">
        <v>15</v>
      </c>
      <c r="I17" s="18">
        <f t="shared" si="1"/>
        <v>-1</v>
      </c>
      <c r="J17" s="18">
        <f t="shared" si="2"/>
        <v>-4200</v>
      </c>
      <c r="K17" s="40" t="s">
        <v>15</v>
      </c>
    </row>
    <row r="18" spans="1:11" ht="18" customHeight="1" x14ac:dyDescent="0.45">
      <c r="A18" s="39" t="s">
        <v>41</v>
      </c>
      <c r="B18" s="27" t="s">
        <v>42</v>
      </c>
      <c r="C18" s="16">
        <v>10</v>
      </c>
      <c r="D18" s="16">
        <v>23000</v>
      </c>
      <c r="E18" s="16">
        <f t="shared" si="0"/>
        <v>230000</v>
      </c>
      <c r="F18" s="17" t="s">
        <v>15</v>
      </c>
      <c r="G18" s="17" t="s">
        <v>15</v>
      </c>
      <c r="H18" s="17" t="s">
        <v>15</v>
      </c>
      <c r="I18" s="18">
        <f t="shared" si="1"/>
        <v>-10</v>
      </c>
      <c r="J18" s="18">
        <f t="shared" si="2"/>
        <v>-230000</v>
      </c>
      <c r="K18" s="40" t="s">
        <v>15</v>
      </c>
    </row>
    <row r="19" spans="1:11" ht="18" customHeight="1" x14ac:dyDescent="0.45">
      <c r="A19" s="39" t="s">
        <v>43</v>
      </c>
      <c r="B19" s="27" t="s">
        <v>44</v>
      </c>
      <c r="C19" s="16">
        <v>10</v>
      </c>
      <c r="D19" s="16">
        <v>2500</v>
      </c>
      <c r="E19" s="16">
        <f t="shared" si="0"/>
        <v>25000</v>
      </c>
      <c r="F19" s="17" t="s">
        <v>15</v>
      </c>
      <c r="G19" s="17" t="s">
        <v>15</v>
      </c>
      <c r="H19" s="17" t="s">
        <v>15</v>
      </c>
      <c r="I19" s="18">
        <f t="shared" si="1"/>
        <v>-10</v>
      </c>
      <c r="J19" s="18">
        <f t="shared" si="2"/>
        <v>-25000</v>
      </c>
      <c r="K19" s="40" t="s">
        <v>15</v>
      </c>
    </row>
    <row r="20" spans="1:11" ht="18" customHeight="1" x14ac:dyDescent="0.45">
      <c r="A20" s="39" t="s">
        <v>45</v>
      </c>
      <c r="B20" s="27" t="s">
        <v>46</v>
      </c>
      <c r="C20" s="16">
        <v>1</v>
      </c>
      <c r="D20" s="16">
        <v>143000</v>
      </c>
      <c r="E20" s="16">
        <f t="shared" si="0"/>
        <v>143000</v>
      </c>
      <c r="F20" s="17" t="s">
        <v>15</v>
      </c>
      <c r="G20" s="17" t="s">
        <v>15</v>
      </c>
      <c r="H20" s="17" t="s">
        <v>15</v>
      </c>
      <c r="I20" s="18">
        <f t="shared" si="1"/>
        <v>-1</v>
      </c>
      <c r="J20" s="18">
        <f t="shared" si="2"/>
        <v>-143000</v>
      </c>
      <c r="K20" s="40" t="s">
        <v>15</v>
      </c>
    </row>
    <row r="21" spans="1:11" ht="18" customHeight="1" x14ac:dyDescent="0.45">
      <c r="A21" s="39" t="s">
        <v>47</v>
      </c>
      <c r="B21" s="27" t="s">
        <v>48</v>
      </c>
      <c r="C21" s="16">
        <v>6</v>
      </c>
      <c r="D21" s="16">
        <v>29500</v>
      </c>
      <c r="E21" s="16">
        <f t="shared" si="0"/>
        <v>177000</v>
      </c>
      <c r="F21" s="17" t="s">
        <v>15</v>
      </c>
      <c r="G21" s="17" t="s">
        <v>15</v>
      </c>
      <c r="H21" s="17" t="s">
        <v>15</v>
      </c>
      <c r="I21" s="18">
        <f t="shared" si="1"/>
        <v>-6</v>
      </c>
      <c r="J21" s="18">
        <f t="shared" si="2"/>
        <v>-177000</v>
      </c>
      <c r="K21" s="40" t="s">
        <v>15</v>
      </c>
    </row>
    <row r="22" spans="1:11" ht="18" customHeight="1" x14ac:dyDescent="0.45">
      <c r="A22" s="39" t="s">
        <v>49</v>
      </c>
      <c r="B22" s="27" t="s">
        <v>50</v>
      </c>
      <c r="C22" s="16">
        <v>4</v>
      </c>
      <c r="D22" s="16">
        <v>6500</v>
      </c>
      <c r="E22" s="16">
        <f t="shared" si="0"/>
        <v>26000</v>
      </c>
      <c r="F22" s="17" t="s">
        <v>15</v>
      </c>
      <c r="G22" s="17" t="s">
        <v>15</v>
      </c>
      <c r="H22" s="17" t="s">
        <v>15</v>
      </c>
      <c r="I22" s="18">
        <f t="shared" si="1"/>
        <v>-4</v>
      </c>
      <c r="J22" s="18">
        <f t="shared" si="2"/>
        <v>-26000</v>
      </c>
      <c r="K22" s="40" t="s">
        <v>15</v>
      </c>
    </row>
    <row r="23" spans="1:11" ht="18" customHeight="1" x14ac:dyDescent="0.45">
      <c r="A23" s="39" t="s">
        <v>51</v>
      </c>
      <c r="B23" s="27" t="s">
        <v>52</v>
      </c>
      <c r="C23" s="16">
        <v>1</v>
      </c>
      <c r="D23" s="16">
        <v>35000</v>
      </c>
      <c r="E23" s="16">
        <f t="shared" si="0"/>
        <v>35000</v>
      </c>
      <c r="F23" s="17" t="s">
        <v>15</v>
      </c>
      <c r="G23" s="17" t="s">
        <v>15</v>
      </c>
      <c r="H23" s="17" t="s">
        <v>15</v>
      </c>
      <c r="I23" s="18">
        <f t="shared" si="1"/>
        <v>-1</v>
      </c>
      <c r="J23" s="18">
        <f t="shared" si="2"/>
        <v>-35000</v>
      </c>
      <c r="K23" s="40" t="s">
        <v>15</v>
      </c>
    </row>
    <row r="24" spans="1:11" ht="18" customHeight="1" x14ac:dyDescent="0.45">
      <c r="A24" s="39" t="s">
        <v>53</v>
      </c>
      <c r="B24" s="27" t="s">
        <v>54</v>
      </c>
      <c r="C24" s="16">
        <v>70</v>
      </c>
      <c r="D24" s="16">
        <v>3500</v>
      </c>
      <c r="E24" s="16">
        <f t="shared" si="0"/>
        <v>245000</v>
      </c>
      <c r="F24" s="17" t="s">
        <v>15</v>
      </c>
      <c r="G24" s="17" t="s">
        <v>15</v>
      </c>
      <c r="H24" s="17" t="s">
        <v>15</v>
      </c>
      <c r="I24" s="18">
        <f t="shared" si="1"/>
        <v>-70</v>
      </c>
      <c r="J24" s="18">
        <f t="shared" si="2"/>
        <v>-245000</v>
      </c>
      <c r="K24" s="40" t="s">
        <v>15</v>
      </c>
    </row>
    <row r="25" spans="1:11" ht="18" customHeight="1" x14ac:dyDescent="0.45">
      <c r="A25" s="39" t="s">
        <v>55</v>
      </c>
      <c r="B25" s="27" t="s">
        <v>56</v>
      </c>
      <c r="C25" s="16">
        <v>3</v>
      </c>
      <c r="D25" s="16">
        <v>64000</v>
      </c>
      <c r="E25" s="16">
        <f t="shared" si="0"/>
        <v>192000</v>
      </c>
      <c r="F25" s="17" t="s">
        <v>15</v>
      </c>
      <c r="G25" s="17" t="s">
        <v>15</v>
      </c>
      <c r="H25" s="17" t="s">
        <v>15</v>
      </c>
      <c r="I25" s="18">
        <f t="shared" si="1"/>
        <v>-3</v>
      </c>
      <c r="J25" s="18">
        <f t="shared" si="2"/>
        <v>-192000</v>
      </c>
      <c r="K25" s="40" t="s">
        <v>15</v>
      </c>
    </row>
    <row r="26" spans="1:11" ht="18" customHeight="1" x14ac:dyDescent="0.45">
      <c r="A26" s="39" t="s">
        <v>57</v>
      </c>
      <c r="B26" s="27" t="s">
        <v>58</v>
      </c>
      <c r="C26" s="16">
        <v>40</v>
      </c>
      <c r="D26" s="16">
        <v>3060</v>
      </c>
      <c r="E26" s="16">
        <f t="shared" si="0"/>
        <v>122400</v>
      </c>
      <c r="F26" s="17" t="s">
        <v>15</v>
      </c>
      <c r="G26" s="17" t="s">
        <v>15</v>
      </c>
      <c r="H26" s="17" t="s">
        <v>15</v>
      </c>
      <c r="I26" s="18">
        <f t="shared" si="1"/>
        <v>-40</v>
      </c>
      <c r="J26" s="18">
        <f t="shared" si="2"/>
        <v>-122400</v>
      </c>
      <c r="K26" s="40" t="s">
        <v>15</v>
      </c>
    </row>
    <row r="27" spans="1:11" ht="18" customHeight="1" x14ac:dyDescent="0.45">
      <c r="A27" s="39" t="s">
        <v>59</v>
      </c>
      <c r="B27" s="27" t="s">
        <v>60</v>
      </c>
      <c r="C27" s="16">
        <v>20</v>
      </c>
      <c r="D27" s="16">
        <v>3540</v>
      </c>
      <c r="E27" s="16">
        <f t="shared" si="0"/>
        <v>70800</v>
      </c>
      <c r="F27" s="17" t="s">
        <v>15</v>
      </c>
      <c r="G27" s="17" t="s">
        <v>15</v>
      </c>
      <c r="H27" s="17" t="s">
        <v>15</v>
      </c>
      <c r="I27" s="18">
        <f t="shared" si="1"/>
        <v>-20</v>
      </c>
      <c r="J27" s="18">
        <f t="shared" si="2"/>
        <v>-70800</v>
      </c>
      <c r="K27" s="40" t="s">
        <v>15</v>
      </c>
    </row>
    <row r="28" spans="1:11" ht="18" customHeight="1" x14ac:dyDescent="0.45">
      <c r="A28" s="39" t="s">
        <v>61</v>
      </c>
      <c r="B28" s="27" t="s">
        <v>62</v>
      </c>
      <c r="C28" s="17" t="s">
        <v>15</v>
      </c>
      <c r="D28" s="17" t="s">
        <v>15</v>
      </c>
      <c r="E28" s="17" t="s">
        <v>15</v>
      </c>
      <c r="F28" s="16">
        <v>3</v>
      </c>
      <c r="G28" s="16">
        <v>17000</v>
      </c>
      <c r="H28" s="16">
        <f t="shared" ref="H28:H49" si="3">F28*G28</f>
        <v>51000</v>
      </c>
      <c r="I28" s="18">
        <f t="shared" ref="I28:I49" si="4">F28</f>
        <v>3</v>
      </c>
      <c r="J28" s="18">
        <f t="shared" ref="J28:J49" si="5">H28</f>
        <v>51000</v>
      </c>
      <c r="K28" s="40" t="s">
        <v>63</v>
      </c>
    </row>
    <row r="29" spans="1:11" ht="18" customHeight="1" x14ac:dyDescent="0.45">
      <c r="A29" s="39" t="s">
        <v>64</v>
      </c>
      <c r="B29" s="27" t="s">
        <v>65</v>
      </c>
      <c r="C29" s="17" t="s">
        <v>15</v>
      </c>
      <c r="D29" s="17" t="s">
        <v>15</v>
      </c>
      <c r="E29" s="17" t="s">
        <v>15</v>
      </c>
      <c r="F29" s="16">
        <v>2</v>
      </c>
      <c r="G29" s="16">
        <v>7000</v>
      </c>
      <c r="H29" s="16">
        <f t="shared" si="3"/>
        <v>14000</v>
      </c>
      <c r="I29" s="18">
        <f t="shared" si="4"/>
        <v>2</v>
      </c>
      <c r="J29" s="18">
        <f t="shared" si="5"/>
        <v>14000</v>
      </c>
      <c r="K29" s="40" t="s">
        <v>63</v>
      </c>
    </row>
    <row r="30" spans="1:11" ht="18" customHeight="1" x14ac:dyDescent="0.45">
      <c r="A30" s="39" t="s">
        <v>66</v>
      </c>
      <c r="B30" s="27" t="s">
        <v>67</v>
      </c>
      <c r="C30" s="17" t="s">
        <v>15</v>
      </c>
      <c r="D30" s="17" t="s">
        <v>15</v>
      </c>
      <c r="E30" s="17" t="s">
        <v>15</v>
      </c>
      <c r="F30" s="16">
        <v>20</v>
      </c>
      <c r="G30" s="16">
        <v>640</v>
      </c>
      <c r="H30" s="16">
        <f t="shared" si="3"/>
        <v>12800</v>
      </c>
      <c r="I30" s="18">
        <f t="shared" si="4"/>
        <v>20</v>
      </c>
      <c r="J30" s="18">
        <f t="shared" si="5"/>
        <v>12800</v>
      </c>
      <c r="K30" s="40" t="s">
        <v>63</v>
      </c>
    </row>
    <row r="31" spans="1:11" ht="18" customHeight="1" x14ac:dyDescent="0.45">
      <c r="A31" s="39" t="s">
        <v>68</v>
      </c>
      <c r="B31" s="27" t="s">
        <v>69</v>
      </c>
      <c r="C31" s="17" t="s">
        <v>15</v>
      </c>
      <c r="D31" s="17" t="s">
        <v>15</v>
      </c>
      <c r="E31" s="17" t="s">
        <v>15</v>
      </c>
      <c r="F31" s="16">
        <v>3</v>
      </c>
      <c r="G31" s="16">
        <v>25000</v>
      </c>
      <c r="H31" s="16">
        <f t="shared" si="3"/>
        <v>75000</v>
      </c>
      <c r="I31" s="18">
        <f t="shared" si="4"/>
        <v>3</v>
      </c>
      <c r="J31" s="18">
        <f t="shared" si="5"/>
        <v>75000</v>
      </c>
      <c r="K31" s="40" t="s">
        <v>63</v>
      </c>
    </row>
    <row r="32" spans="1:11" ht="18" customHeight="1" x14ac:dyDescent="0.45">
      <c r="A32" s="39" t="s">
        <v>70</v>
      </c>
      <c r="B32" s="27" t="s">
        <v>71</v>
      </c>
      <c r="C32" s="17" t="s">
        <v>15</v>
      </c>
      <c r="D32" s="17" t="s">
        <v>15</v>
      </c>
      <c r="E32" s="17" t="s">
        <v>15</v>
      </c>
      <c r="F32" s="16">
        <v>6</v>
      </c>
      <c r="G32" s="16">
        <v>169000</v>
      </c>
      <c r="H32" s="38">
        <f t="shared" si="3"/>
        <v>1014000</v>
      </c>
      <c r="I32" s="18">
        <f t="shared" si="4"/>
        <v>6</v>
      </c>
      <c r="J32" s="18">
        <f t="shared" si="5"/>
        <v>1014000</v>
      </c>
      <c r="K32" s="40" t="s">
        <v>72</v>
      </c>
    </row>
    <row r="33" spans="1:11" ht="18" customHeight="1" x14ac:dyDescent="0.45">
      <c r="A33" s="39" t="s">
        <v>73</v>
      </c>
      <c r="B33" s="27" t="s">
        <v>74</v>
      </c>
      <c r="C33" s="17" t="s">
        <v>15</v>
      </c>
      <c r="D33" s="17" t="s">
        <v>15</v>
      </c>
      <c r="E33" s="17" t="s">
        <v>15</v>
      </c>
      <c r="F33" s="16">
        <v>20</v>
      </c>
      <c r="G33" s="16">
        <v>18200</v>
      </c>
      <c r="H33" s="16">
        <f t="shared" si="3"/>
        <v>364000</v>
      </c>
      <c r="I33" s="18">
        <f t="shared" si="4"/>
        <v>20</v>
      </c>
      <c r="J33" s="18">
        <f t="shared" si="5"/>
        <v>364000</v>
      </c>
      <c r="K33" s="40" t="s">
        <v>63</v>
      </c>
    </row>
    <row r="34" spans="1:11" ht="18" customHeight="1" x14ac:dyDescent="0.45">
      <c r="A34" s="39" t="s">
        <v>75</v>
      </c>
      <c r="B34" s="27" t="s">
        <v>76</v>
      </c>
      <c r="C34" s="17" t="s">
        <v>15</v>
      </c>
      <c r="D34" s="17" t="s">
        <v>15</v>
      </c>
      <c r="E34" s="17" t="s">
        <v>15</v>
      </c>
      <c r="F34" s="16">
        <v>2</v>
      </c>
      <c r="G34" s="16">
        <v>41440</v>
      </c>
      <c r="H34" s="16">
        <f t="shared" si="3"/>
        <v>82880</v>
      </c>
      <c r="I34" s="18">
        <f t="shared" si="4"/>
        <v>2</v>
      </c>
      <c r="J34" s="18">
        <f t="shared" si="5"/>
        <v>82880</v>
      </c>
      <c r="K34" s="40" t="s">
        <v>63</v>
      </c>
    </row>
    <row r="35" spans="1:11" ht="18" customHeight="1" x14ac:dyDescent="0.45">
      <c r="A35" s="39" t="s">
        <v>77</v>
      </c>
      <c r="B35" s="27" t="s">
        <v>78</v>
      </c>
      <c r="C35" s="17" t="s">
        <v>15</v>
      </c>
      <c r="D35" s="17" t="s">
        <v>15</v>
      </c>
      <c r="E35" s="17" t="s">
        <v>15</v>
      </c>
      <c r="F35" s="16">
        <v>1</v>
      </c>
      <c r="G35" s="16">
        <v>85000</v>
      </c>
      <c r="H35" s="16">
        <f t="shared" si="3"/>
        <v>85000</v>
      </c>
      <c r="I35" s="18">
        <f t="shared" si="4"/>
        <v>1</v>
      </c>
      <c r="J35" s="18">
        <f t="shared" si="5"/>
        <v>85000</v>
      </c>
      <c r="K35" s="40" t="s">
        <v>63</v>
      </c>
    </row>
    <row r="36" spans="1:11" ht="18" customHeight="1" x14ac:dyDescent="0.45">
      <c r="A36" s="39" t="s">
        <v>79</v>
      </c>
      <c r="B36" s="27" t="s">
        <v>80</v>
      </c>
      <c r="C36" s="17" t="s">
        <v>15</v>
      </c>
      <c r="D36" s="17" t="s">
        <v>15</v>
      </c>
      <c r="E36" s="17" t="s">
        <v>15</v>
      </c>
      <c r="F36" s="16">
        <v>2</v>
      </c>
      <c r="G36" s="16">
        <v>20000</v>
      </c>
      <c r="H36" s="16">
        <f t="shared" si="3"/>
        <v>40000</v>
      </c>
      <c r="I36" s="18">
        <f t="shared" si="4"/>
        <v>2</v>
      </c>
      <c r="J36" s="18">
        <f t="shared" si="5"/>
        <v>40000</v>
      </c>
      <c r="K36" s="40" t="s">
        <v>63</v>
      </c>
    </row>
    <row r="37" spans="1:11" ht="18" customHeight="1" x14ac:dyDescent="0.45">
      <c r="A37" s="39" t="s">
        <v>81</v>
      </c>
      <c r="B37" s="27" t="s">
        <v>82</v>
      </c>
      <c r="C37" s="17" t="s">
        <v>15</v>
      </c>
      <c r="D37" s="17" t="s">
        <v>15</v>
      </c>
      <c r="E37" s="17" t="s">
        <v>15</v>
      </c>
      <c r="F37" s="16">
        <v>2</v>
      </c>
      <c r="G37" s="16">
        <v>65500</v>
      </c>
      <c r="H37" s="16">
        <f t="shared" si="3"/>
        <v>131000</v>
      </c>
      <c r="I37" s="18">
        <f t="shared" si="4"/>
        <v>2</v>
      </c>
      <c r="J37" s="18">
        <f t="shared" si="5"/>
        <v>131000</v>
      </c>
      <c r="K37" s="40" t="s">
        <v>63</v>
      </c>
    </row>
    <row r="38" spans="1:11" ht="18" customHeight="1" x14ac:dyDescent="0.45">
      <c r="A38" s="39" t="s">
        <v>83</v>
      </c>
      <c r="B38" s="27" t="s">
        <v>84</v>
      </c>
      <c r="C38" s="17" t="s">
        <v>15</v>
      </c>
      <c r="D38" s="17" t="s">
        <v>15</v>
      </c>
      <c r="E38" s="17" t="s">
        <v>15</v>
      </c>
      <c r="F38" s="16">
        <v>3</v>
      </c>
      <c r="G38" s="16">
        <v>9000</v>
      </c>
      <c r="H38" s="16">
        <f t="shared" si="3"/>
        <v>27000</v>
      </c>
      <c r="I38" s="18">
        <f t="shared" si="4"/>
        <v>3</v>
      </c>
      <c r="J38" s="18">
        <f t="shared" si="5"/>
        <v>27000</v>
      </c>
      <c r="K38" s="40" t="s">
        <v>63</v>
      </c>
    </row>
    <row r="39" spans="1:11" ht="18" customHeight="1" x14ac:dyDescent="0.45">
      <c r="A39" s="39" t="s">
        <v>85</v>
      </c>
      <c r="B39" s="27" t="s">
        <v>86</v>
      </c>
      <c r="C39" s="17" t="s">
        <v>15</v>
      </c>
      <c r="D39" s="17" t="s">
        <v>15</v>
      </c>
      <c r="E39" s="17" t="s">
        <v>15</v>
      </c>
      <c r="F39" s="16">
        <v>3</v>
      </c>
      <c r="G39" s="16">
        <v>35360</v>
      </c>
      <c r="H39" s="16">
        <f t="shared" si="3"/>
        <v>106080</v>
      </c>
      <c r="I39" s="18">
        <f t="shared" si="4"/>
        <v>3</v>
      </c>
      <c r="J39" s="18">
        <f t="shared" si="5"/>
        <v>106080</v>
      </c>
      <c r="K39" s="40" t="s">
        <v>63</v>
      </c>
    </row>
    <row r="40" spans="1:11" ht="18" customHeight="1" x14ac:dyDescent="0.45">
      <c r="A40" s="39" t="s">
        <v>87</v>
      </c>
      <c r="B40" s="27" t="s">
        <v>88</v>
      </c>
      <c r="C40" s="17" t="s">
        <v>15</v>
      </c>
      <c r="D40" s="17" t="s">
        <v>15</v>
      </c>
      <c r="E40" s="17" t="s">
        <v>15</v>
      </c>
      <c r="F40" s="16">
        <v>1</v>
      </c>
      <c r="G40" s="16">
        <v>243600</v>
      </c>
      <c r="H40" s="16">
        <f t="shared" si="3"/>
        <v>243600</v>
      </c>
      <c r="I40" s="18">
        <f t="shared" si="4"/>
        <v>1</v>
      </c>
      <c r="J40" s="18">
        <f t="shared" si="5"/>
        <v>243600</v>
      </c>
      <c r="K40" s="40" t="s">
        <v>63</v>
      </c>
    </row>
    <row r="41" spans="1:11" ht="18" customHeight="1" x14ac:dyDescent="0.45">
      <c r="A41" s="39" t="s">
        <v>47</v>
      </c>
      <c r="B41" s="27" t="s">
        <v>89</v>
      </c>
      <c r="C41" s="17" t="s">
        <v>15</v>
      </c>
      <c r="D41" s="17" t="s">
        <v>15</v>
      </c>
      <c r="E41" s="17" t="s">
        <v>15</v>
      </c>
      <c r="F41" s="16">
        <v>2</v>
      </c>
      <c r="G41" s="16">
        <v>47000</v>
      </c>
      <c r="H41" s="16">
        <f t="shared" si="3"/>
        <v>94000</v>
      </c>
      <c r="I41" s="18">
        <f t="shared" si="4"/>
        <v>2</v>
      </c>
      <c r="J41" s="18">
        <f t="shared" si="5"/>
        <v>94000</v>
      </c>
      <c r="K41" s="40" t="s">
        <v>63</v>
      </c>
    </row>
    <row r="42" spans="1:11" ht="18" customHeight="1" x14ac:dyDescent="0.45">
      <c r="A42" s="39" t="s">
        <v>90</v>
      </c>
      <c r="B42" s="27" t="s">
        <v>91</v>
      </c>
      <c r="C42" s="17" t="s">
        <v>15</v>
      </c>
      <c r="D42" s="17" t="s">
        <v>15</v>
      </c>
      <c r="E42" s="17" t="s">
        <v>15</v>
      </c>
      <c r="F42" s="16">
        <v>1</v>
      </c>
      <c r="G42" s="16">
        <v>4980</v>
      </c>
      <c r="H42" s="16">
        <f t="shared" si="3"/>
        <v>4980</v>
      </c>
      <c r="I42" s="18">
        <f t="shared" si="4"/>
        <v>1</v>
      </c>
      <c r="J42" s="18">
        <f t="shared" si="5"/>
        <v>4980</v>
      </c>
      <c r="K42" s="40" t="s">
        <v>63</v>
      </c>
    </row>
    <row r="43" spans="1:11" ht="18" customHeight="1" x14ac:dyDescent="0.45">
      <c r="A43" s="39" t="s">
        <v>22</v>
      </c>
      <c r="B43" s="27" t="s">
        <v>92</v>
      </c>
      <c r="C43" s="17" t="s">
        <v>15</v>
      </c>
      <c r="D43" s="17" t="s">
        <v>15</v>
      </c>
      <c r="E43" s="17" t="s">
        <v>15</v>
      </c>
      <c r="F43" s="16">
        <v>5</v>
      </c>
      <c r="G43" s="16">
        <v>34000</v>
      </c>
      <c r="H43" s="16">
        <f t="shared" si="3"/>
        <v>170000</v>
      </c>
      <c r="I43" s="18">
        <f t="shared" si="4"/>
        <v>5</v>
      </c>
      <c r="J43" s="18">
        <f t="shared" si="5"/>
        <v>170000</v>
      </c>
      <c r="K43" s="40" t="s">
        <v>63</v>
      </c>
    </row>
    <row r="44" spans="1:11" ht="18" customHeight="1" x14ac:dyDescent="0.45">
      <c r="A44" s="39" t="s">
        <v>93</v>
      </c>
      <c r="B44" s="27" t="s">
        <v>94</v>
      </c>
      <c r="C44" s="17" t="s">
        <v>15</v>
      </c>
      <c r="D44" s="17" t="s">
        <v>15</v>
      </c>
      <c r="E44" s="17" t="s">
        <v>15</v>
      </c>
      <c r="F44" s="16">
        <v>3</v>
      </c>
      <c r="G44" s="16">
        <v>2800</v>
      </c>
      <c r="H44" s="16">
        <f t="shared" si="3"/>
        <v>8400</v>
      </c>
      <c r="I44" s="18">
        <f t="shared" si="4"/>
        <v>3</v>
      </c>
      <c r="J44" s="18">
        <f t="shared" si="5"/>
        <v>8400</v>
      </c>
      <c r="K44" s="40" t="s">
        <v>63</v>
      </c>
    </row>
    <row r="45" spans="1:11" ht="18" customHeight="1" x14ac:dyDescent="0.45">
      <c r="A45" s="39" t="s">
        <v>95</v>
      </c>
      <c r="B45" s="27" t="s">
        <v>96</v>
      </c>
      <c r="C45" s="17" t="s">
        <v>15</v>
      </c>
      <c r="D45" s="17" t="s">
        <v>15</v>
      </c>
      <c r="E45" s="17" t="s">
        <v>15</v>
      </c>
      <c r="F45" s="16">
        <v>4</v>
      </c>
      <c r="G45" s="16">
        <v>36400</v>
      </c>
      <c r="H45" s="16">
        <f t="shared" si="3"/>
        <v>145600</v>
      </c>
      <c r="I45" s="18">
        <f t="shared" si="4"/>
        <v>4</v>
      </c>
      <c r="J45" s="18">
        <f t="shared" si="5"/>
        <v>145600</v>
      </c>
      <c r="K45" s="40" t="s">
        <v>63</v>
      </c>
    </row>
    <row r="46" spans="1:11" ht="18" customHeight="1" x14ac:dyDescent="0.45">
      <c r="A46" s="39" t="s">
        <v>97</v>
      </c>
      <c r="B46" s="27" t="s">
        <v>98</v>
      </c>
      <c r="C46" s="17" t="s">
        <v>15</v>
      </c>
      <c r="D46" s="17" t="s">
        <v>15</v>
      </c>
      <c r="E46" s="17" t="s">
        <v>15</v>
      </c>
      <c r="F46" s="16">
        <v>4</v>
      </c>
      <c r="G46" s="16">
        <v>2730</v>
      </c>
      <c r="H46" s="16">
        <f t="shared" si="3"/>
        <v>10920</v>
      </c>
      <c r="I46" s="18">
        <f t="shared" si="4"/>
        <v>4</v>
      </c>
      <c r="J46" s="18">
        <f t="shared" si="5"/>
        <v>10920</v>
      </c>
      <c r="K46" s="40" t="s">
        <v>63</v>
      </c>
    </row>
    <row r="47" spans="1:11" ht="18" customHeight="1" x14ac:dyDescent="0.45">
      <c r="A47" s="39" t="s">
        <v>99</v>
      </c>
      <c r="B47" s="27" t="s">
        <v>100</v>
      </c>
      <c r="C47" s="17" t="s">
        <v>15</v>
      </c>
      <c r="D47" s="17" t="s">
        <v>15</v>
      </c>
      <c r="E47" s="17" t="s">
        <v>15</v>
      </c>
      <c r="F47" s="16">
        <v>3</v>
      </c>
      <c r="G47" s="16">
        <v>10300</v>
      </c>
      <c r="H47" s="16">
        <f t="shared" si="3"/>
        <v>30900</v>
      </c>
      <c r="I47" s="18">
        <f t="shared" si="4"/>
        <v>3</v>
      </c>
      <c r="J47" s="18">
        <f t="shared" si="5"/>
        <v>30900</v>
      </c>
      <c r="K47" s="40" t="s">
        <v>63</v>
      </c>
    </row>
    <row r="48" spans="1:11" ht="18" customHeight="1" x14ac:dyDescent="0.45">
      <c r="A48" s="39" t="s">
        <v>101</v>
      </c>
      <c r="B48" s="27" t="s">
        <v>102</v>
      </c>
      <c r="C48" s="17" t="s">
        <v>15</v>
      </c>
      <c r="D48" s="17" t="s">
        <v>15</v>
      </c>
      <c r="E48" s="17" t="s">
        <v>15</v>
      </c>
      <c r="F48" s="16">
        <v>5</v>
      </c>
      <c r="G48" s="16">
        <v>1000</v>
      </c>
      <c r="H48" s="16">
        <f t="shared" si="3"/>
        <v>5000</v>
      </c>
      <c r="I48" s="18">
        <f t="shared" si="4"/>
        <v>5</v>
      </c>
      <c r="J48" s="18">
        <f t="shared" si="5"/>
        <v>5000</v>
      </c>
      <c r="K48" s="40" t="s">
        <v>63</v>
      </c>
    </row>
    <row r="49" spans="1:11" ht="18" customHeight="1" thickBot="1" x14ac:dyDescent="0.5">
      <c r="A49" s="41" t="s">
        <v>103</v>
      </c>
      <c r="B49" s="28" t="s">
        <v>104</v>
      </c>
      <c r="C49" s="29" t="s">
        <v>15</v>
      </c>
      <c r="D49" s="29" t="s">
        <v>15</v>
      </c>
      <c r="E49" s="29" t="s">
        <v>15</v>
      </c>
      <c r="F49" s="30">
        <v>2</v>
      </c>
      <c r="G49" s="30">
        <v>3500</v>
      </c>
      <c r="H49" s="30">
        <f t="shared" si="3"/>
        <v>7000</v>
      </c>
      <c r="I49" s="31">
        <f t="shared" si="4"/>
        <v>2</v>
      </c>
      <c r="J49" s="31">
        <f t="shared" si="5"/>
        <v>7000</v>
      </c>
      <c r="K49" s="42" t="s">
        <v>105</v>
      </c>
    </row>
    <row r="50" spans="1:11" ht="22.05" customHeight="1" thickBot="1" x14ac:dyDescent="0.5">
      <c r="A50" s="32" t="s">
        <v>106</v>
      </c>
      <c r="B50" s="33"/>
      <c r="C50" s="34">
        <f>SUM(C4:C49)</f>
        <v>253</v>
      </c>
      <c r="D50" s="35"/>
      <c r="E50" s="34">
        <f>SUM(E4:E49)</f>
        <v>2675600</v>
      </c>
      <c r="F50" s="34">
        <f>SUM(F4:F49)</f>
        <v>97</v>
      </c>
      <c r="G50" s="35"/>
      <c r="H50" s="34">
        <f>SUM(H4:H49)</f>
        <v>2723160</v>
      </c>
      <c r="I50" s="36">
        <f>F50-C50</f>
        <v>-156</v>
      </c>
      <c r="J50" s="36">
        <f>H50-E50</f>
        <v>47560</v>
      </c>
      <c r="K50" s="37"/>
    </row>
    <row r="52" spans="1:11" ht="19.8" thickBot="1" x14ac:dyDescent="0.5"/>
    <row r="53" spans="1:11" ht="22.05" customHeight="1" x14ac:dyDescent="0.45">
      <c r="A53" s="12" t="s">
        <v>107</v>
      </c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8" customHeight="1" x14ac:dyDescent="0.45">
      <c r="A54" s="13" t="s">
        <v>108</v>
      </c>
      <c r="B54" s="1"/>
      <c r="C54" s="1"/>
      <c r="D54" s="13" t="s">
        <v>109</v>
      </c>
      <c r="E54" s="1"/>
      <c r="F54" s="1"/>
      <c r="G54" s="1"/>
      <c r="H54" s="1"/>
      <c r="I54" s="1"/>
      <c r="J54" s="1"/>
      <c r="K54" s="1"/>
    </row>
    <row r="55" spans="1:11" ht="30" customHeight="1" x14ac:dyDescent="0.45">
      <c r="A55" s="14" t="s">
        <v>110</v>
      </c>
      <c r="B55" s="1"/>
      <c r="C55" s="1"/>
      <c r="D55" s="8" t="s">
        <v>111</v>
      </c>
      <c r="E55" s="1"/>
      <c r="F55" s="1"/>
      <c r="G55" s="1"/>
      <c r="H55" s="1"/>
      <c r="I55" s="1"/>
      <c r="J55" s="1"/>
      <c r="K55" s="1"/>
    </row>
    <row r="56" spans="1:11" ht="30" customHeight="1" x14ac:dyDescent="0.45">
      <c r="A56" s="14" t="s">
        <v>112</v>
      </c>
      <c r="B56" s="1"/>
      <c r="C56" s="1"/>
      <c r="D56" s="8" t="s">
        <v>113</v>
      </c>
      <c r="E56" s="1"/>
      <c r="F56" s="1"/>
      <c r="G56" s="1"/>
      <c r="H56" s="1"/>
      <c r="I56" s="1"/>
      <c r="J56" s="1"/>
      <c r="K56" s="1"/>
    </row>
    <row r="57" spans="1:11" ht="30" customHeight="1" x14ac:dyDescent="0.45">
      <c r="A57" s="14" t="s">
        <v>114</v>
      </c>
      <c r="B57" s="1"/>
      <c r="C57" s="1"/>
      <c r="D57" s="8" t="s">
        <v>115</v>
      </c>
      <c r="E57" s="1"/>
      <c r="F57" s="1"/>
      <c r="G57" s="1"/>
      <c r="H57" s="1"/>
      <c r="I57" s="1"/>
      <c r="J57" s="1"/>
      <c r="K57" s="1"/>
    </row>
    <row r="58" spans="1:11" ht="30" customHeight="1" x14ac:dyDescent="0.45">
      <c r="A58" s="14" t="s">
        <v>116</v>
      </c>
      <c r="B58" s="1"/>
      <c r="C58" s="1"/>
      <c r="D58" s="8" t="s">
        <v>117</v>
      </c>
      <c r="E58" s="1"/>
      <c r="F58" s="1"/>
      <c r="G58" s="1"/>
      <c r="H58" s="1"/>
      <c r="I58" s="1"/>
      <c r="J58" s="1"/>
      <c r="K58" s="1"/>
    </row>
    <row r="59" spans="1:11" ht="30" customHeight="1" x14ac:dyDescent="0.45">
      <c r="A59" s="14" t="s">
        <v>118</v>
      </c>
      <c r="B59" s="1"/>
      <c r="C59" s="1"/>
      <c r="D59" s="8" t="s">
        <v>119</v>
      </c>
      <c r="E59" s="1"/>
      <c r="F59" s="1"/>
      <c r="G59" s="1"/>
      <c r="H59" s="1"/>
      <c r="I59" s="1"/>
      <c r="J59" s="1"/>
      <c r="K59" s="1"/>
    </row>
    <row r="60" spans="1:11" ht="30" customHeight="1" x14ac:dyDescent="0.45">
      <c r="A60" s="14" t="s">
        <v>120</v>
      </c>
      <c r="B60" s="1"/>
      <c r="C60" s="1"/>
      <c r="D60" s="8" t="s">
        <v>121</v>
      </c>
      <c r="E60" s="1"/>
      <c r="F60" s="1"/>
      <c r="G60" s="1"/>
      <c r="H60" s="1"/>
      <c r="I60" s="1"/>
      <c r="J60" s="1"/>
      <c r="K60" s="1"/>
    </row>
    <row r="61" spans="1:11" ht="30" customHeight="1" x14ac:dyDescent="0.45">
      <c r="A61" s="14" t="s">
        <v>122</v>
      </c>
      <c r="B61" s="1"/>
      <c r="C61" s="1"/>
      <c r="D61" s="8" t="s">
        <v>123</v>
      </c>
      <c r="E61" s="1"/>
      <c r="F61" s="1"/>
      <c r="G61" s="1"/>
      <c r="H61" s="1"/>
      <c r="I61" s="1"/>
      <c r="J61" s="1"/>
      <c r="K61" s="1"/>
    </row>
    <row r="62" spans="1:11" ht="30" customHeight="1" x14ac:dyDescent="0.45">
      <c r="A62" s="14" t="s">
        <v>124</v>
      </c>
      <c r="B62" s="1"/>
      <c r="C62" s="1"/>
      <c r="D62" s="8" t="s">
        <v>125</v>
      </c>
      <c r="E62" s="1"/>
      <c r="F62" s="1"/>
      <c r="G62" s="1"/>
      <c r="H62" s="1"/>
      <c r="I62" s="1"/>
      <c r="J62" s="1"/>
      <c r="K62" s="1"/>
    </row>
    <row r="63" spans="1:11" ht="30" customHeight="1" x14ac:dyDescent="0.45">
      <c r="A63" s="14" t="s">
        <v>126</v>
      </c>
      <c r="B63" s="1"/>
      <c r="C63" s="1"/>
      <c r="D63" s="8" t="s">
        <v>127</v>
      </c>
      <c r="E63" s="1"/>
      <c r="F63" s="1"/>
      <c r="G63" s="1"/>
      <c r="H63" s="1"/>
      <c r="I63" s="1"/>
      <c r="J63" s="1"/>
      <c r="K63" s="1"/>
    </row>
    <row r="64" spans="1:11" ht="39.6" customHeight="1" x14ac:dyDescent="0.45">
      <c r="A64" s="14" t="s">
        <v>128</v>
      </c>
      <c r="B64" s="1"/>
      <c r="C64" s="1"/>
      <c r="D64" s="8" t="s">
        <v>137</v>
      </c>
      <c r="E64" s="1"/>
      <c r="F64" s="1"/>
      <c r="G64" s="1"/>
      <c r="H64" s="1"/>
      <c r="I64" s="1"/>
      <c r="J64" s="1"/>
      <c r="K64" s="1"/>
    </row>
    <row r="65" spans="1:11" ht="30" customHeight="1" x14ac:dyDescent="0.45">
      <c r="A65" s="14" t="s">
        <v>129</v>
      </c>
      <c r="B65" s="1"/>
      <c r="C65" s="1"/>
      <c r="D65" s="8" t="s">
        <v>130</v>
      </c>
      <c r="E65" s="1"/>
      <c r="F65" s="1"/>
      <c r="G65" s="1"/>
      <c r="H65" s="1"/>
      <c r="I65" s="1"/>
      <c r="J65" s="1"/>
      <c r="K65" s="1"/>
    </row>
    <row r="66" spans="1:11" ht="30" customHeight="1" x14ac:dyDescent="0.45">
      <c r="A66" s="14" t="s">
        <v>131</v>
      </c>
      <c r="B66" s="1"/>
      <c r="C66" s="1"/>
      <c r="D66" s="8" t="s">
        <v>132</v>
      </c>
      <c r="E66" s="1"/>
      <c r="F66" s="1"/>
      <c r="G66" s="1"/>
      <c r="H66" s="1"/>
      <c r="I66" s="1"/>
      <c r="J66" s="1"/>
      <c r="K66" s="1"/>
    </row>
    <row r="67" spans="1:11" ht="30" customHeight="1" x14ac:dyDescent="0.45">
      <c r="A67" s="14" t="s">
        <v>133</v>
      </c>
      <c r="B67" s="1"/>
      <c r="C67" s="1"/>
      <c r="D67" s="8" t="s">
        <v>134</v>
      </c>
      <c r="E67" s="1"/>
      <c r="F67" s="1"/>
      <c r="G67" s="1"/>
      <c r="H67" s="1"/>
      <c r="I67" s="1"/>
      <c r="J67" s="1"/>
      <c r="K67" s="1"/>
    </row>
    <row r="68" spans="1:11" ht="30" customHeight="1" x14ac:dyDescent="0.45">
      <c r="A68" s="15" t="s">
        <v>135</v>
      </c>
      <c r="B68" s="9"/>
      <c r="C68" s="9"/>
      <c r="D68" s="10" t="s">
        <v>136</v>
      </c>
      <c r="E68" s="9"/>
      <c r="F68" s="9"/>
      <c r="G68" s="9"/>
      <c r="H68" s="9"/>
      <c r="I68" s="9"/>
      <c r="J68" s="9"/>
      <c r="K68" s="9"/>
    </row>
  </sheetData>
  <mergeCells count="37">
    <mergeCell ref="A68:C68"/>
    <mergeCell ref="A50:B50"/>
    <mergeCell ref="A59:C59"/>
    <mergeCell ref="A55:C55"/>
    <mergeCell ref="D63:K63"/>
    <mergeCell ref="D59:K59"/>
    <mergeCell ref="A56:C56"/>
    <mergeCell ref="D68:K68"/>
    <mergeCell ref="A65:C65"/>
    <mergeCell ref="D62:K62"/>
    <mergeCell ref="A64:C64"/>
    <mergeCell ref="A60:C60"/>
    <mergeCell ref="D54:K54"/>
    <mergeCell ref="A67:C67"/>
    <mergeCell ref="D61:K61"/>
    <mergeCell ref="A63:C63"/>
    <mergeCell ref="A58:C58"/>
    <mergeCell ref="D67:K67"/>
    <mergeCell ref="A62:C62"/>
    <mergeCell ref="D66:K66"/>
    <mergeCell ref="A66:C66"/>
    <mergeCell ref="I2:K2"/>
    <mergeCell ref="A57:C57"/>
    <mergeCell ref="D65:K65"/>
    <mergeCell ref="D56:K56"/>
    <mergeCell ref="A2:B2"/>
    <mergeCell ref="D57:K57"/>
    <mergeCell ref="A54:C54"/>
    <mergeCell ref="C2:E2"/>
    <mergeCell ref="D64:K64"/>
    <mergeCell ref="D58:K58"/>
    <mergeCell ref="A1:K1"/>
    <mergeCell ref="D60:K60"/>
    <mergeCell ref="A53:K53"/>
    <mergeCell ref="D55:K55"/>
    <mergeCell ref="A61:C61"/>
    <mergeCell ref="F2:H2"/>
  </mergeCells>
  <phoneticPr fontId="1" type="noConversion"/>
  <pageMargins left="0.75" right="0.75" top="1" bottom="1" header="0.5" footer="0.5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증감분석(3→4월)</vt:lpstr>
      <vt:lpstr>'증감분석(3→4월)'!Print_Titles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2026-04-25T11:21:30Z</dcterms:created>
  <dcterms:modified xsi:type="dcterms:W3CDTF">2026-04-25T13:29:56Z</dcterms:modified>
</cp:coreProperties>
</file>