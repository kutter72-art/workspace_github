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June\"/>
    </mc:Choice>
  </mc:AlternateContent>
  <bookViews>
    <workbookView xWindow="0" yWindow="0" windowWidth="16380" windowHeight="8190" tabRatio="500"/>
  </bookViews>
  <sheets>
    <sheet name="5월 구매내역" sheetId="1" r:id="rId1"/>
    <sheet name="3개월 비교 (3월~5월)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2" l="1"/>
  <c r="E31" i="2"/>
  <c r="D31" i="2"/>
  <c r="J30" i="2"/>
  <c r="J29" i="2"/>
  <c r="J28" i="2"/>
  <c r="J27" i="2"/>
  <c r="J26" i="2"/>
  <c r="J25" i="2"/>
  <c r="J24" i="2"/>
  <c r="J23" i="2"/>
  <c r="J22" i="2"/>
  <c r="J21" i="2"/>
  <c r="J20" i="2"/>
  <c r="J31" i="2" s="1"/>
  <c r="I19" i="2"/>
  <c r="I18" i="2"/>
  <c r="I17" i="2"/>
  <c r="I16" i="2"/>
  <c r="I15" i="2"/>
  <c r="H15" i="2"/>
  <c r="I14" i="2"/>
  <c r="I31" i="2" s="1"/>
  <c r="H14" i="2"/>
  <c r="H13" i="2"/>
  <c r="H12" i="2"/>
  <c r="H11" i="2"/>
  <c r="H10" i="2"/>
  <c r="H9" i="2"/>
  <c r="H8" i="2"/>
  <c r="H31" i="2" s="1"/>
  <c r="H7" i="2"/>
  <c r="H6" i="2"/>
  <c r="E16" i="1"/>
  <c r="D16" i="1"/>
  <c r="F15" i="1"/>
  <c r="F14" i="1"/>
  <c r="F13" i="1"/>
  <c r="F12" i="1"/>
  <c r="F11" i="1"/>
  <c r="F10" i="1"/>
  <c r="F9" i="1"/>
  <c r="F8" i="1"/>
  <c r="F7" i="1"/>
  <c r="F16" i="1" s="1"/>
  <c r="E19" i="1" s="1"/>
  <c r="G19" i="1" s="1"/>
  <c r="F6" i="1"/>
  <c r="F5" i="1"/>
</calcChain>
</file>

<file path=xl/sharedStrings.xml><?xml version="1.0" encoding="utf-8"?>
<sst xmlns="http://schemas.openxmlformats.org/spreadsheetml/2006/main" count="98" uniqueCount="80">
  <si>
    <t>소  속</t>
  </si>
  <si>
    <t>공정관리팀</t>
  </si>
  <si>
    <t>작 성 자</t>
  </si>
  <si>
    <t>홍기훈</t>
  </si>
  <si>
    <t>제  목</t>
  </si>
  <si>
    <t>생산비품 구매의건  /  생산팀  /  6월 01일</t>
  </si>
  <si>
    <t>NO</t>
  </si>
  <si>
    <t>품  명</t>
  </si>
  <si>
    <t>규  격</t>
  </si>
  <si>
    <t>수량</t>
  </si>
  <si>
    <t>단  가</t>
  </si>
  <si>
    <t>금  액</t>
  </si>
  <si>
    <t>비  고</t>
  </si>
  <si>
    <t>하우스비닐</t>
  </si>
  <si>
    <t>검정색</t>
  </si>
  <si>
    <t>종이컵</t>
  </si>
  <si>
    <t>서진산업(1000개)</t>
  </si>
  <si>
    <t>카누</t>
  </si>
  <si>
    <t>둥글레 차</t>
  </si>
  <si>
    <t>핸드타올</t>
  </si>
  <si>
    <t>복사용지</t>
  </si>
  <si>
    <t>커피 (모카골드)</t>
  </si>
  <si>
    <t>면테이프</t>
  </si>
  <si>
    <t>녹색100mm×25m</t>
  </si>
  <si>
    <t>다용도접착제제거제</t>
  </si>
  <si>
    <t>200ml</t>
  </si>
  <si>
    <t>[8513500]</t>
  </si>
  <si>
    <t>[6516303]</t>
  </si>
  <si>
    <t>모나미볼펜</t>
  </si>
  <si>
    <t>(5000300)</t>
  </si>
  <si>
    <t>합  계</t>
  </si>
  <si>
    <t>기  타</t>
  </si>
  <si>
    <t>당해 예산액</t>
  </si>
  <si>
    <t>전월 예산 잔액</t>
  </si>
  <si>
    <t>당월 구매액</t>
  </si>
  <si>
    <t>남은 예산 총액</t>
  </si>
  <si>
    <t>생산비품 구매 현황 – 3개월 비교 (3월 / 4월 / 5월)</t>
  </si>
  <si>
    <r>
      <rPr>
        <b/>
        <sz val="10"/>
        <color rgb="FFFFFFFF"/>
        <rFont val="맑은 고딕"/>
        <family val="2"/>
        <charset val="129"/>
      </rPr>
      <t>3</t>
    </r>
    <r>
      <rPr>
        <b/>
        <sz val="10"/>
        <color rgb="FFFFFFFF"/>
        <rFont val="Noto Sans CJK SC"/>
        <family val="2"/>
      </rPr>
      <t>월 합계</t>
    </r>
  </si>
  <si>
    <r>
      <rPr>
        <b/>
        <sz val="10"/>
        <color rgb="FFFFFFFF"/>
        <rFont val="맑은 고딕"/>
        <family val="2"/>
        <charset val="129"/>
      </rPr>
      <t>4</t>
    </r>
    <r>
      <rPr>
        <b/>
        <sz val="10"/>
        <color rgb="FFFFFFFF"/>
        <rFont val="Noto Sans CJK SC"/>
        <family val="2"/>
      </rPr>
      <t>월 합계</t>
    </r>
  </si>
  <si>
    <r>
      <rPr>
        <b/>
        <sz val="10"/>
        <color rgb="FFFFFFFF"/>
        <rFont val="맑은 고딕"/>
        <family val="2"/>
        <charset val="129"/>
      </rPr>
      <t>5</t>
    </r>
    <r>
      <rPr>
        <b/>
        <sz val="10"/>
        <color rgb="FFFFFFFF"/>
        <rFont val="Noto Sans CJK SC"/>
        <family val="2"/>
      </rPr>
      <t>월 합계</t>
    </r>
  </si>
  <si>
    <r>
      <rPr>
        <sz val="9"/>
        <color rgb="FFC0392B"/>
        <rFont val="맑은 고딕"/>
        <family val="2"/>
        <charset val="129"/>
      </rPr>
      <t>▼ 643,500</t>
    </r>
    <r>
      <rPr>
        <sz val="9"/>
        <color rgb="FFC0392B"/>
        <rFont val="Noto Sans CJK SC"/>
        <family val="2"/>
      </rPr>
      <t xml:space="preserve">원  </t>
    </r>
    <r>
      <rPr>
        <sz val="9"/>
        <color rgb="FFC0392B"/>
        <rFont val="맑은 고딕"/>
        <family val="2"/>
        <charset val="129"/>
      </rPr>
      <t>(-57.7%)</t>
    </r>
  </si>
  <si>
    <r>
      <rPr>
        <sz val="9"/>
        <color rgb="FF1A7A3A"/>
        <rFont val="맑은 고딕"/>
        <family val="2"/>
        <charset val="129"/>
      </rPr>
      <t>▲ 430,900</t>
    </r>
    <r>
      <rPr>
        <sz val="9"/>
        <color rgb="FF1A7A3A"/>
        <rFont val="Noto Sans CJK SC"/>
        <family val="2"/>
      </rPr>
      <t xml:space="preserve">원  </t>
    </r>
    <r>
      <rPr>
        <sz val="9"/>
        <color rgb="FF1A7A3A"/>
        <rFont val="맑은 고딕"/>
        <family val="2"/>
        <charset val="129"/>
      </rPr>
      <t>(+91.2%)</t>
    </r>
  </si>
  <si>
    <t>품명</t>
  </si>
  <si>
    <t>규격</t>
  </si>
  <si>
    <t>단가(₩)</t>
  </si>
  <si>
    <t>비고</t>
  </si>
  <si>
    <t>투명고압호스</t>
  </si>
  <si>
    <t>75×50M</t>
  </si>
  <si>
    <t>화이트보드</t>
  </si>
  <si>
    <t>900×1200</t>
  </si>
  <si>
    <t>청통용기</t>
  </si>
  <si>
    <t>55L</t>
  </si>
  <si>
    <t>비닐봉투</t>
  </si>
  <si>
    <t>80×105</t>
  </si>
  <si>
    <t>메모홀더</t>
  </si>
  <si>
    <t>AMH-20</t>
  </si>
  <si>
    <t>스텐플채</t>
  </si>
  <si>
    <t>테프론판</t>
  </si>
  <si>
    <t>300×300×1T</t>
  </si>
  <si>
    <t>고무망치</t>
  </si>
  <si>
    <t>EA</t>
  </si>
  <si>
    <t>테프론봉</t>
  </si>
  <si>
    <t>6mm×1M</t>
  </si>
  <si>
    <t>배송비</t>
  </si>
  <si>
    <t>청력보호구</t>
  </si>
  <si>
    <t>H9A</t>
  </si>
  <si>
    <t>사무용의자</t>
  </si>
  <si>
    <t>보루</t>
  </si>
  <si>
    <t>5kg</t>
  </si>
  <si>
    <t>빗자루</t>
  </si>
  <si>
    <t>대</t>
  </si>
  <si>
    <t>SLIDE LOCK 핀셋</t>
  </si>
  <si>
    <r>
      <rPr>
        <b/>
        <sz val="10"/>
        <color rgb="FFFFFFFF"/>
        <rFont val="맑은 고딕"/>
        <family val="2"/>
      </rPr>
      <t>3월
수량</t>
    </r>
  </si>
  <si>
    <r>
      <rPr>
        <b/>
        <sz val="10"/>
        <color rgb="FFFFFFFF"/>
        <rFont val="맑은 고딕"/>
        <family val="2"/>
      </rPr>
      <t>4월
수량</t>
    </r>
  </si>
  <si>
    <r>
      <rPr>
        <b/>
        <sz val="10"/>
        <color rgb="FFFFFFFF"/>
        <rFont val="맑은 고딕"/>
        <family val="2"/>
      </rPr>
      <t>5월
수량</t>
    </r>
  </si>
  <si>
    <r>
      <rPr>
        <b/>
        <sz val="10"/>
        <color rgb="FFFFFFFF"/>
        <rFont val="맑은 고딕"/>
        <family val="2"/>
      </rPr>
      <t>3월금액(₩)</t>
    </r>
  </si>
  <si>
    <r>
      <rPr>
        <b/>
        <sz val="10"/>
        <color rgb="FFFFFFFF"/>
        <rFont val="맑은 고딕"/>
        <family val="2"/>
      </rPr>
      <t>4월금액(₩)</t>
    </r>
  </si>
  <si>
    <r>
      <rPr>
        <b/>
        <sz val="10"/>
        <color rgb="FFFFFFFF"/>
        <rFont val="맑은 고딕"/>
        <family val="2"/>
      </rPr>
      <t>5월금액(₩)</t>
    </r>
  </si>
  <si>
    <t>일회성</t>
    <phoneticPr fontId="14" type="noConversion"/>
  </si>
  <si>
    <t>출하3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</si>
</sst>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&quot;원&quot;"/>
  </numFmts>
  <fonts count="21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1E3A5F"/>
      <name val="Noto Sans CJK SC"/>
      <family val="2"/>
      <charset val="1"/>
    </font>
    <font>
      <b/>
      <sz val="11"/>
      <color rgb="FFFFFFFF"/>
      <name val="맑은 고딕"/>
      <family val="2"/>
      <charset val="129"/>
    </font>
    <font>
      <b/>
      <sz val="14"/>
      <color rgb="FFFFFFFF"/>
      <name val="Noto Sans CJK SC"/>
      <family val="2"/>
      <charset val="1"/>
    </font>
    <font>
      <b/>
      <sz val="10"/>
      <color rgb="FFFFFFFF"/>
      <name val="맑은 고딕"/>
      <family val="2"/>
      <charset val="129"/>
    </font>
    <font>
      <b/>
      <sz val="10"/>
      <color rgb="FFFFFFFF"/>
      <name val="Noto Sans CJK SC"/>
      <family val="2"/>
    </font>
    <font>
      <b/>
      <sz val="13"/>
      <color rgb="FF1E3A5F"/>
      <name val="맑은 고딕"/>
      <family val="2"/>
      <charset val="129"/>
    </font>
    <font>
      <b/>
      <sz val="13"/>
      <color rgb="FFC0392B"/>
      <name val="맑은 고딕"/>
      <family val="2"/>
      <charset val="129"/>
    </font>
    <font>
      <b/>
      <sz val="13"/>
      <color rgb="FF1A7A3A"/>
      <name val="맑은 고딕"/>
      <family val="2"/>
      <charset val="129"/>
    </font>
    <font>
      <sz val="9"/>
      <color rgb="FFC0392B"/>
      <name val="맑은 고딕"/>
      <family val="2"/>
      <charset val="129"/>
    </font>
    <font>
      <sz val="9"/>
      <color rgb="FFC0392B"/>
      <name val="Noto Sans CJK SC"/>
      <family val="2"/>
    </font>
    <font>
      <sz val="9"/>
      <color rgb="FF1A7A3A"/>
      <name val="맑은 고딕"/>
      <family val="2"/>
      <charset val="129"/>
    </font>
    <font>
      <sz val="9"/>
      <color rgb="FF1A7A3A"/>
      <name val="Noto Sans CJK SC"/>
      <family val="2"/>
    </font>
    <font>
      <sz val="8"/>
      <name val="돋움체"/>
      <family val="3"/>
      <charset val="129"/>
    </font>
    <font>
      <b/>
      <sz val="11"/>
      <color rgb="FFFFFFFF"/>
      <name val="맑은 고딕"/>
      <family val="2"/>
    </font>
    <font>
      <b/>
      <sz val="10"/>
      <color rgb="FFFFFFFF"/>
      <name val="맑은 고딕"/>
      <family val="2"/>
    </font>
    <font>
      <b/>
      <sz val="11"/>
      <color rgb="FF1E3A5F"/>
      <name val="맑은 고딕"/>
      <family val="2"/>
    </font>
    <font>
      <sz val="11"/>
      <color rgb="FF000000"/>
      <name val="맑은 고딕"/>
      <family val="2"/>
    </font>
    <font>
      <sz val="11"/>
      <color rgb="FF666666"/>
      <name val="맑은 고딕"/>
      <family val="2"/>
    </font>
    <font>
      <sz val="10"/>
      <name val="맑은 고딕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6E4F7"/>
        <bgColor rgb="FFEAF2FF"/>
      </patternFill>
    </fill>
    <fill>
      <patternFill patternType="solid">
        <fgColor rgb="FFF5F7FA"/>
        <bgColor rgb="FFFFF8ED"/>
      </patternFill>
    </fill>
    <fill>
      <patternFill patternType="solid">
        <fgColor rgb="FFFFFFFF"/>
        <bgColor rgb="FFFFF8ED"/>
      </patternFill>
    </fill>
    <fill>
      <patternFill patternType="solid">
        <fgColor rgb="FF2C4F7C"/>
        <bgColor rgb="FF1E3A5F"/>
      </patternFill>
    </fill>
    <fill>
      <patternFill patternType="solid">
        <fgColor rgb="FFEAF2FF"/>
        <bgColor rgb="FFF5F7FA"/>
      </patternFill>
    </fill>
    <fill>
      <patternFill patternType="solid">
        <fgColor rgb="FFFFF0F0"/>
        <bgColor rgb="FFFFF8ED"/>
      </patternFill>
    </fill>
    <fill>
      <patternFill patternType="solid">
        <fgColor rgb="FFFFF8ED"/>
        <bgColor rgb="FFFFF0F0"/>
      </patternFill>
    </fill>
    <fill>
      <patternFill patternType="solid">
        <fgColor rgb="FFF0FFF4"/>
        <bgColor rgb="FFF5F7FA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2" fillId="7" borderId="2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right" vertical="center"/>
    </xf>
    <xf numFmtId="176" fontId="9" fillId="7" borderId="2" xfId="0" applyNumberFormat="1" applyFont="1" applyFill="1" applyBorder="1" applyAlignment="1">
      <alignment horizontal="right" vertical="center"/>
    </xf>
    <xf numFmtId="176" fontId="8" fillId="7" borderId="2" xfId="0" applyNumberFormat="1" applyFont="1" applyFill="1" applyBorder="1" applyAlignment="1">
      <alignment horizontal="right" vertical="center"/>
    </xf>
    <xf numFmtId="176" fontId="7" fillId="7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right" vertical="center" wrapText="1"/>
    </xf>
    <xf numFmtId="3" fontId="17" fillId="3" borderId="1" xfId="0" applyNumberFormat="1" applyFont="1" applyFill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3" fontId="18" fillId="4" borderId="1" xfId="0" applyNumberFormat="1" applyFont="1" applyFill="1" applyBorder="1" applyAlignment="1">
      <alignment horizontal="righ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3" fontId="18" fillId="5" borderId="1" xfId="0" applyNumberFormat="1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3" fontId="15" fillId="6" borderId="12" xfId="0" applyNumberFormat="1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3" fontId="16" fillId="6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3" fontId="20" fillId="8" borderId="1" xfId="0" applyNumberFormat="1" applyFont="1" applyFill="1" applyBorder="1" applyAlignment="1">
      <alignment horizontal="right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3" fontId="20" fillId="9" borderId="1" xfId="0" applyNumberFormat="1" applyFont="1" applyFill="1" applyBorder="1" applyAlignment="1">
      <alignment horizontal="right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3" fontId="20" fillId="10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A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8ED"/>
      <rgbColor rgb="FFEAF2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F5F7FA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A04000"/>
      <rgbColor rgb="FF993366"/>
      <rgbColor rgb="FF2C4F7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Normal="100" workbookViewId="0">
      <selection activeCell="F27" sqref="F27"/>
    </sheetView>
  </sheetViews>
  <sheetFormatPr defaultColWidth="8.7109375" defaultRowHeight="15"/>
  <cols>
    <col min="1" max="1" width="5" style="11" customWidth="1"/>
    <col min="2" max="2" width="22" style="11" customWidth="1"/>
    <col min="3" max="3" width="19.5703125" style="11" customWidth="1"/>
    <col min="4" max="4" width="8" style="11" customWidth="1"/>
    <col min="5" max="6" width="13.85546875" style="11" customWidth="1"/>
    <col min="7" max="7" width="18.140625" style="11" customWidth="1"/>
  </cols>
  <sheetData>
    <row r="1" spans="1:7" ht="21.75" customHeight="1">
      <c r="A1" s="10" t="s">
        <v>0</v>
      </c>
      <c r="B1" s="10"/>
      <c r="C1" s="9" t="s">
        <v>1</v>
      </c>
      <c r="D1" s="9"/>
      <c r="E1" s="10" t="s">
        <v>2</v>
      </c>
      <c r="F1" s="10"/>
      <c r="G1" s="12" t="s">
        <v>3</v>
      </c>
    </row>
    <row r="2" spans="1:7" ht="21.75" customHeight="1">
      <c r="A2" s="10" t="s">
        <v>4</v>
      </c>
      <c r="B2" s="10"/>
      <c r="C2" s="9" t="s">
        <v>5</v>
      </c>
      <c r="D2" s="9"/>
      <c r="E2" s="9"/>
      <c r="F2" s="9"/>
      <c r="G2" s="9"/>
    </row>
    <row r="3" spans="1:7" ht="21.75" customHeight="1" thickBot="1">
      <c r="A3" s="8"/>
      <c r="B3" s="8"/>
      <c r="C3" s="8"/>
      <c r="D3" s="8"/>
      <c r="E3" s="8"/>
      <c r="F3" s="8"/>
      <c r="G3" s="8"/>
    </row>
    <row r="4" spans="1:7" ht="27.75" customHeight="1">
      <c r="A4" s="27" t="s">
        <v>6</v>
      </c>
      <c r="B4" s="28" t="s">
        <v>7</v>
      </c>
      <c r="C4" s="28" t="s">
        <v>8</v>
      </c>
      <c r="D4" s="28" t="s">
        <v>9</v>
      </c>
      <c r="E4" s="28" t="s">
        <v>10</v>
      </c>
      <c r="F4" s="28" t="s">
        <v>11</v>
      </c>
      <c r="G4" s="29" t="s">
        <v>12</v>
      </c>
    </row>
    <row r="5" spans="1:7" ht="21.75" customHeight="1">
      <c r="A5" s="30">
        <v>1</v>
      </c>
      <c r="B5" s="19" t="s">
        <v>13</v>
      </c>
      <c r="C5" s="19" t="s">
        <v>14</v>
      </c>
      <c r="D5" s="18">
        <v>5</v>
      </c>
      <c r="E5" s="20">
        <v>41000</v>
      </c>
      <c r="F5" s="20">
        <f t="shared" ref="F5:F15" si="0">D5*E5</f>
        <v>205000</v>
      </c>
      <c r="G5" s="31"/>
    </row>
    <row r="6" spans="1:7" ht="21.75" customHeight="1">
      <c r="A6" s="32">
        <v>2</v>
      </c>
      <c r="B6" s="22" t="s">
        <v>15</v>
      </c>
      <c r="C6" s="22" t="s">
        <v>16</v>
      </c>
      <c r="D6" s="21">
        <v>4</v>
      </c>
      <c r="E6" s="23">
        <v>10000</v>
      </c>
      <c r="F6" s="23">
        <f t="shared" si="0"/>
        <v>40000</v>
      </c>
      <c r="G6" s="33"/>
    </row>
    <row r="7" spans="1:7" ht="21.75" customHeight="1">
      <c r="A7" s="30">
        <v>3</v>
      </c>
      <c r="B7" s="19" t="s">
        <v>17</v>
      </c>
      <c r="C7" s="19"/>
      <c r="D7" s="18">
        <v>3</v>
      </c>
      <c r="E7" s="20">
        <v>23000</v>
      </c>
      <c r="F7" s="20">
        <f t="shared" si="0"/>
        <v>69000</v>
      </c>
      <c r="G7" s="31"/>
    </row>
    <row r="8" spans="1:7" ht="21.75" customHeight="1">
      <c r="A8" s="32">
        <v>4</v>
      </c>
      <c r="B8" s="22" t="s">
        <v>18</v>
      </c>
      <c r="C8" s="22"/>
      <c r="D8" s="21">
        <v>2</v>
      </c>
      <c r="E8" s="23">
        <v>8500</v>
      </c>
      <c r="F8" s="23">
        <f t="shared" si="0"/>
        <v>17000</v>
      </c>
      <c r="G8" s="33"/>
    </row>
    <row r="9" spans="1:7" ht="21.75" customHeight="1">
      <c r="A9" s="30">
        <v>5</v>
      </c>
      <c r="B9" s="19" t="s">
        <v>19</v>
      </c>
      <c r="C9" s="19"/>
      <c r="D9" s="18">
        <v>1</v>
      </c>
      <c r="E9" s="20">
        <v>30400</v>
      </c>
      <c r="F9" s="20">
        <f t="shared" si="0"/>
        <v>30400</v>
      </c>
      <c r="G9" s="31"/>
    </row>
    <row r="10" spans="1:7" ht="21.75" customHeight="1">
      <c r="A10" s="32">
        <v>6</v>
      </c>
      <c r="B10" s="22" t="s">
        <v>20</v>
      </c>
      <c r="C10" s="22"/>
      <c r="D10" s="21">
        <v>3</v>
      </c>
      <c r="E10" s="23">
        <v>21000</v>
      </c>
      <c r="F10" s="23">
        <f t="shared" si="0"/>
        <v>63000</v>
      </c>
      <c r="G10" s="33"/>
    </row>
    <row r="11" spans="1:7" ht="21.75" customHeight="1">
      <c r="A11" s="30">
        <v>7</v>
      </c>
      <c r="B11" s="19" t="s">
        <v>21</v>
      </c>
      <c r="C11" s="19"/>
      <c r="D11" s="18">
        <v>12</v>
      </c>
      <c r="E11" s="20">
        <v>27000</v>
      </c>
      <c r="F11" s="20">
        <f t="shared" si="0"/>
        <v>324000</v>
      </c>
      <c r="G11" s="31"/>
    </row>
    <row r="12" spans="1:7" ht="21.75" customHeight="1">
      <c r="A12" s="32">
        <v>8</v>
      </c>
      <c r="B12" s="22" t="s">
        <v>22</v>
      </c>
      <c r="C12" s="22" t="s">
        <v>23</v>
      </c>
      <c r="D12" s="21">
        <v>1</v>
      </c>
      <c r="E12" s="23">
        <v>93600</v>
      </c>
      <c r="F12" s="23">
        <f t="shared" si="0"/>
        <v>93600</v>
      </c>
      <c r="G12" s="33"/>
    </row>
    <row r="13" spans="1:7" ht="21.75" customHeight="1">
      <c r="A13" s="30">
        <v>9</v>
      </c>
      <c r="B13" s="19" t="s">
        <v>24</v>
      </c>
      <c r="C13" s="19" t="s">
        <v>25</v>
      </c>
      <c r="D13" s="18">
        <v>2</v>
      </c>
      <c r="E13" s="20">
        <v>6400</v>
      </c>
      <c r="F13" s="20">
        <f t="shared" si="0"/>
        <v>12800</v>
      </c>
      <c r="G13" s="31" t="s">
        <v>26</v>
      </c>
    </row>
    <row r="14" spans="1:7" ht="21.75" customHeight="1">
      <c r="A14" s="32">
        <v>10</v>
      </c>
      <c r="B14" s="22" t="s">
        <v>71</v>
      </c>
      <c r="C14" s="22"/>
      <c r="D14" s="21">
        <v>3</v>
      </c>
      <c r="E14" s="23">
        <v>3000</v>
      </c>
      <c r="F14" s="23">
        <f t="shared" si="0"/>
        <v>9000</v>
      </c>
      <c r="G14" s="33" t="s">
        <v>27</v>
      </c>
    </row>
    <row r="15" spans="1:7" ht="21.75" customHeight="1">
      <c r="A15" s="30">
        <v>11</v>
      </c>
      <c r="B15" s="19" t="s">
        <v>28</v>
      </c>
      <c r="C15" s="19"/>
      <c r="D15" s="18">
        <v>12</v>
      </c>
      <c r="E15" s="20">
        <v>3300</v>
      </c>
      <c r="F15" s="20">
        <f t="shared" si="0"/>
        <v>39600</v>
      </c>
      <c r="G15" s="31" t="s">
        <v>29</v>
      </c>
    </row>
    <row r="16" spans="1:7" ht="21.75" customHeight="1" thickBot="1">
      <c r="A16" s="34" t="s">
        <v>30</v>
      </c>
      <c r="B16" s="35"/>
      <c r="C16" s="36"/>
      <c r="D16" s="36">
        <f>SUM(D5:D15)</f>
        <v>48</v>
      </c>
      <c r="E16" s="37">
        <f>SUM(E5:E15)</f>
        <v>267200</v>
      </c>
      <c r="F16" s="37">
        <f>SUM(F5:F15)</f>
        <v>903400</v>
      </c>
      <c r="G16" s="38"/>
    </row>
    <row r="17" spans="1:7" ht="24" customHeight="1">
      <c r="A17" s="25" t="s">
        <v>31</v>
      </c>
      <c r="B17" s="25"/>
      <c r="C17" s="26"/>
      <c r="D17" s="26"/>
      <c r="E17" s="26"/>
      <c r="F17" s="26"/>
      <c r="G17" s="26"/>
    </row>
    <row r="18" spans="1:7" ht="19.5" customHeight="1">
      <c r="A18" s="24" t="s">
        <v>32</v>
      </c>
      <c r="B18" s="24"/>
      <c r="C18" s="24" t="s">
        <v>33</v>
      </c>
      <c r="D18" s="24"/>
      <c r="E18" s="24" t="s">
        <v>34</v>
      </c>
      <c r="F18" s="24"/>
      <c r="G18" s="14" t="s">
        <v>35</v>
      </c>
    </row>
    <row r="19" spans="1:7" ht="21.75" customHeight="1">
      <c r="A19" s="16">
        <v>20000000</v>
      </c>
      <c r="B19" s="16"/>
      <c r="C19" s="16">
        <v>15169000</v>
      </c>
      <c r="D19" s="16"/>
      <c r="E19" s="16">
        <f>F16</f>
        <v>903400</v>
      </c>
      <c r="F19" s="16"/>
      <c r="G19" s="17">
        <f>C19-E19</f>
        <v>14265600</v>
      </c>
    </row>
  </sheetData>
  <mergeCells count="14">
    <mergeCell ref="A19:B19"/>
    <mergeCell ref="C19:D19"/>
    <mergeCell ref="E19:F19"/>
    <mergeCell ref="A3:G3"/>
    <mergeCell ref="A16:B16"/>
    <mergeCell ref="A17:B17"/>
    <mergeCell ref="A18:B18"/>
    <mergeCell ref="C18:D18"/>
    <mergeCell ref="E18:F18"/>
    <mergeCell ref="A1:B1"/>
    <mergeCell ref="C1:D1"/>
    <mergeCell ref="E1:F1"/>
    <mergeCell ref="A2:B2"/>
    <mergeCell ref="C2:G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4" zoomScaleNormal="100" workbookViewId="0">
      <selection activeCell="L16" sqref="L16"/>
    </sheetView>
  </sheetViews>
  <sheetFormatPr defaultColWidth="8.7109375" defaultRowHeight="15"/>
  <cols>
    <col min="1" max="1" width="5" style="11" customWidth="1"/>
    <col min="2" max="2" width="22" style="11" customWidth="1"/>
    <col min="3" max="3" width="18" style="11" customWidth="1"/>
    <col min="4" max="6" width="8" style="11" customWidth="1"/>
    <col min="7" max="7" width="12" style="11" customWidth="1"/>
    <col min="8" max="10" width="13" style="11" customWidth="1"/>
    <col min="11" max="11" width="10.7109375" style="11" customWidth="1"/>
  </cols>
  <sheetData>
    <row r="1" spans="1:11" ht="27.75" customHeight="1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>
      <c r="A2" s="6" t="s">
        <v>37</v>
      </c>
      <c r="B2" s="6"/>
      <c r="C2" s="6"/>
      <c r="D2" s="6" t="s">
        <v>38</v>
      </c>
      <c r="E2" s="6"/>
      <c r="F2" s="6"/>
      <c r="G2" s="6" t="s">
        <v>39</v>
      </c>
      <c r="H2" s="6"/>
      <c r="I2" s="6"/>
    </row>
    <row r="3" spans="1:11" ht="25.5" customHeight="1">
      <c r="A3" s="5">
        <v>1116000</v>
      </c>
      <c r="B3" s="5"/>
      <c r="C3" s="5"/>
      <c r="D3" s="4">
        <v>472500</v>
      </c>
      <c r="E3" s="4"/>
      <c r="F3" s="4"/>
      <c r="G3" s="3">
        <v>903400</v>
      </c>
      <c r="H3" s="3"/>
      <c r="I3" s="3"/>
    </row>
    <row r="4" spans="1:11" ht="19.5" customHeight="1">
      <c r="D4" s="2" t="s">
        <v>40</v>
      </c>
      <c r="E4" s="2"/>
      <c r="F4" s="2"/>
      <c r="G4" s="1" t="s">
        <v>41</v>
      </c>
      <c r="H4" s="1"/>
      <c r="I4" s="1"/>
    </row>
    <row r="5" spans="1:11" ht="27.75" customHeight="1">
      <c r="A5" s="13" t="s">
        <v>6</v>
      </c>
      <c r="B5" s="15" t="s">
        <v>42</v>
      </c>
      <c r="C5" s="15" t="s">
        <v>43</v>
      </c>
      <c r="D5" s="13" t="s">
        <v>72</v>
      </c>
      <c r="E5" s="13" t="s">
        <v>73</v>
      </c>
      <c r="F5" s="13" t="s">
        <v>74</v>
      </c>
      <c r="G5" s="15" t="s">
        <v>44</v>
      </c>
      <c r="H5" s="13" t="s">
        <v>75</v>
      </c>
      <c r="I5" s="13" t="s">
        <v>76</v>
      </c>
      <c r="J5" s="13" t="s">
        <v>77</v>
      </c>
      <c r="K5" s="15" t="s">
        <v>45</v>
      </c>
    </row>
    <row r="6" spans="1:11" ht="19.5" customHeight="1">
      <c r="A6" s="41">
        <v>1</v>
      </c>
      <c r="B6" s="42" t="s">
        <v>46</v>
      </c>
      <c r="C6" s="42" t="s">
        <v>47</v>
      </c>
      <c r="D6" s="41">
        <v>1</v>
      </c>
      <c r="E6" s="41"/>
      <c r="F6" s="41"/>
      <c r="G6" s="43">
        <v>340000</v>
      </c>
      <c r="H6" s="43">
        <f t="shared" ref="H6:H15" si="0">D6*G6</f>
        <v>340000</v>
      </c>
      <c r="I6" s="43"/>
      <c r="J6" s="43"/>
      <c r="K6" s="41"/>
    </row>
    <row r="7" spans="1:11" ht="19.5" customHeight="1">
      <c r="A7" s="41">
        <v>2</v>
      </c>
      <c r="B7" s="42" t="s">
        <v>48</v>
      </c>
      <c r="C7" s="42" t="s">
        <v>49</v>
      </c>
      <c r="D7" s="41">
        <v>6</v>
      </c>
      <c r="E7" s="41"/>
      <c r="F7" s="41"/>
      <c r="G7" s="43">
        <v>49000</v>
      </c>
      <c r="H7" s="43">
        <f t="shared" si="0"/>
        <v>294000</v>
      </c>
      <c r="I7" s="43"/>
      <c r="J7" s="43"/>
      <c r="K7" s="41"/>
    </row>
    <row r="8" spans="1:11" ht="19.5" customHeight="1">
      <c r="A8" s="41">
        <v>3</v>
      </c>
      <c r="B8" s="42" t="s">
        <v>50</v>
      </c>
      <c r="C8" s="42" t="s">
        <v>51</v>
      </c>
      <c r="D8" s="41">
        <v>20</v>
      </c>
      <c r="E8" s="41"/>
      <c r="F8" s="41"/>
      <c r="G8" s="43">
        <v>12000</v>
      </c>
      <c r="H8" s="43">
        <f t="shared" si="0"/>
        <v>240000</v>
      </c>
      <c r="I8" s="43"/>
      <c r="J8" s="43"/>
      <c r="K8" s="41"/>
    </row>
    <row r="9" spans="1:11" ht="19.5" customHeight="1">
      <c r="A9" s="41">
        <v>4</v>
      </c>
      <c r="B9" s="42" t="s">
        <v>52</v>
      </c>
      <c r="C9" s="42" t="s">
        <v>53</v>
      </c>
      <c r="D9" s="41">
        <v>4</v>
      </c>
      <c r="E9" s="41"/>
      <c r="F9" s="41"/>
      <c r="G9" s="43">
        <v>13000</v>
      </c>
      <c r="H9" s="43">
        <f t="shared" si="0"/>
        <v>52000</v>
      </c>
      <c r="I9" s="43"/>
      <c r="J9" s="43"/>
      <c r="K9" s="41"/>
    </row>
    <row r="10" spans="1:11" ht="19.5" customHeight="1">
      <c r="A10" s="41">
        <v>5</v>
      </c>
      <c r="B10" s="42" t="s">
        <v>54</v>
      </c>
      <c r="C10" s="42" t="s">
        <v>55</v>
      </c>
      <c r="D10" s="41">
        <v>40</v>
      </c>
      <c r="E10" s="41"/>
      <c r="F10" s="41"/>
      <c r="G10" s="43">
        <v>1300</v>
      </c>
      <c r="H10" s="43">
        <f t="shared" si="0"/>
        <v>52000</v>
      </c>
      <c r="I10" s="43"/>
      <c r="J10" s="43"/>
      <c r="K10" s="41"/>
    </row>
    <row r="11" spans="1:11" ht="19.5" customHeight="1">
      <c r="A11" s="41">
        <v>6</v>
      </c>
      <c r="B11" s="42" t="s">
        <v>56</v>
      </c>
      <c r="C11" s="42"/>
      <c r="D11" s="41">
        <v>4</v>
      </c>
      <c r="E11" s="41"/>
      <c r="F11" s="41"/>
      <c r="G11" s="43">
        <v>13000</v>
      </c>
      <c r="H11" s="43">
        <f t="shared" si="0"/>
        <v>52000</v>
      </c>
      <c r="I11" s="43"/>
      <c r="J11" s="43"/>
      <c r="K11" s="41"/>
    </row>
    <row r="12" spans="1:11" ht="19.5" customHeight="1">
      <c r="A12" s="41">
        <v>7</v>
      </c>
      <c r="B12" s="42" t="s">
        <v>57</v>
      </c>
      <c r="C12" s="42" t="s">
        <v>58</v>
      </c>
      <c r="D12" s="41">
        <v>1</v>
      </c>
      <c r="E12" s="41"/>
      <c r="F12" s="41"/>
      <c r="G12" s="43">
        <v>32000</v>
      </c>
      <c r="H12" s="43">
        <f t="shared" si="0"/>
        <v>32000</v>
      </c>
      <c r="I12" s="43"/>
      <c r="J12" s="43"/>
      <c r="K12" s="41"/>
    </row>
    <row r="13" spans="1:11" ht="19.5" customHeight="1">
      <c r="A13" s="41">
        <v>8</v>
      </c>
      <c r="B13" s="42" t="s">
        <v>59</v>
      </c>
      <c r="C13" s="42" t="s">
        <v>60</v>
      </c>
      <c r="D13" s="41">
        <v>3</v>
      </c>
      <c r="E13" s="41"/>
      <c r="F13" s="41"/>
      <c r="G13" s="43">
        <v>9000</v>
      </c>
      <c r="H13" s="43">
        <f t="shared" si="0"/>
        <v>27000</v>
      </c>
      <c r="I13" s="43"/>
      <c r="J13" s="43"/>
      <c r="K13" s="41"/>
    </row>
    <row r="14" spans="1:11" ht="19.5" customHeight="1">
      <c r="A14" s="44">
        <v>9</v>
      </c>
      <c r="B14" s="45" t="s">
        <v>61</v>
      </c>
      <c r="C14" s="45" t="s">
        <v>62</v>
      </c>
      <c r="D14" s="44">
        <v>2</v>
      </c>
      <c r="E14" s="44">
        <v>1</v>
      </c>
      <c r="F14" s="44"/>
      <c r="G14" s="46">
        <v>11750</v>
      </c>
      <c r="H14" s="46">
        <f t="shared" si="0"/>
        <v>23500</v>
      </c>
      <c r="I14" s="46">
        <f t="shared" ref="I14:I19" si="1">E14*G14</f>
        <v>11750</v>
      </c>
      <c r="J14" s="46"/>
      <c r="K14" s="44" t="s">
        <v>78</v>
      </c>
    </row>
    <row r="15" spans="1:11" ht="19.5" customHeight="1">
      <c r="A15" s="44">
        <v>10</v>
      </c>
      <c r="B15" s="45" t="s">
        <v>63</v>
      </c>
      <c r="C15" s="45"/>
      <c r="D15" s="44">
        <v>1</v>
      </c>
      <c r="E15" s="44">
        <v>1</v>
      </c>
      <c r="F15" s="44"/>
      <c r="G15" s="46">
        <v>3000</v>
      </c>
      <c r="H15" s="46">
        <f t="shared" si="0"/>
        <v>3000</v>
      </c>
      <c r="I15" s="46">
        <f t="shared" si="1"/>
        <v>3000</v>
      </c>
      <c r="J15" s="46"/>
      <c r="K15" s="44"/>
    </row>
    <row r="16" spans="1:11" ht="19.5" customHeight="1">
      <c r="A16" s="44">
        <v>11</v>
      </c>
      <c r="B16" s="45" t="s">
        <v>64</v>
      </c>
      <c r="C16" s="45" t="s">
        <v>65</v>
      </c>
      <c r="D16" s="44"/>
      <c r="E16" s="44">
        <v>10</v>
      </c>
      <c r="F16" s="44"/>
      <c r="G16" s="46">
        <v>29000</v>
      </c>
      <c r="H16" s="46"/>
      <c r="I16" s="46">
        <f t="shared" si="1"/>
        <v>290000</v>
      </c>
      <c r="J16" s="46"/>
      <c r="K16" s="44"/>
    </row>
    <row r="17" spans="1:11" ht="19.5" customHeight="1">
      <c r="A17" s="44">
        <v>12</v>
      </c>
      <c r="B17" s="45" t="s">
        <v>66</v>
      </c>
      <c r="C17" s="45" t="s">
        <v>60</v>
      </c>
      <c r="D17" s="44"/>
      <c r="E17" s="44">
        <v>1</v>
      </c>
      <c r="F17" s="44"/>
      <c r="G17" s="46">
        <v>120000</v>
      </c>
      <c r="H17" s="46"/>
      <c r="I17" s="46">
        <f t="shared" si="1"/>
        <v>120000</v>
      </c>
      <c r="J17" s="46"/>
      <c r="K17" s="44"/>
    </row>
    <row r="18" spans="1:11" ht="19.5" customHeight="1">
      <c r="A18" s="44">
        <v>13</v>
      </c>
      <c r="B18" s="45" t="s">
        <v>67</v>
      </c>
      <c r="C18" s="45" t="s">
        <v>68</v>
      </c>
      <c r="D18" s="44"/>
      <c r="E18" s="44">
        <v>5</v>
      </c>
      <c r="F18" s="44"/>
      <c r="G18" s="46">
        <v>6000</v>
      </c>
      <c r="H18" s="46"/>
      <c r="I18" s="46">
        <f t="shared" si="1"/>
        <v>30000</v>
      </c>
      <c r="J18" s="46"/>
      <c r="K18" s="44"/>
    </row>
    <row r="19" spans="1:11" ht="19.5" customHeight="1">
      <c r="A19" s="44">
        <v>14</v>
      </c>
      <c r="B19" s="45" t="s">
        <v>69</v>
      </c>
      <c r="C19" s="45" t="s">
        <v>70</v>
      </c>
      <c r="D19" s="44"/>
      <c r="E19" s="44">
        <v>10</v>
      </c>
      <c r="F19" s="44"/>
      <c r="G19" s="46">
        <v>2000</v>
      </c>
      <c r="H19" s="46"/>
      <c r="I19" s="46">
        <f t="shared" si="1"/>
        <v>20000</v>
      </c>
      <c r="J19" s="46"/>
      <c r="K19" s="44"/>
    </row>
    <row r="20" spans="1:11" ht="19.5" customHeight="1">
      <c r="A20" s="47">
        <v>15</v>
      </c>
      <c r="B20" s="48" t="s">
        <v>13</v>
      </c>
      <c r="C20" s="48" t="s">
        <v>14</v>
      </c>
      <c r="D20" s="47"/>
      <c r="E20" s="47"/>
      <c r="F20" s="47">
        <v>5</v>
      </c>
      <c r="G20" s="49">
        <v>41000</v>
      </c>
      <c r="H20" s="49"/>
      <c r="I20" s="49"/>
      <c r="J20" s="49">
        <f t="shared" ref="J20:J30" si="2">F20*G20</f>
        <v>205000</v>
      </c>
      <c r="K20" s="47" t="s">
        <v>79</v>
      </c>
    </row>
    <row r="21" spans="1:11" ht="19.5" customHeight="1">
      <c r="A21" s="47">
        <v>16</v>
      </c>
      <c r="B21" s="48" t="s">
        <v>15</v>
      </c>
      <c r="C21" s="48" t="s">
        <v>16</v>
      </c>
      <c r="D21" s="47"/>
      <c r="E21" s="47"/>
      <c r="F21" s="47">
        <v>4</v>
      </c>
      <c r="G21" s="49">
        <v>10000</v>
      </c>
      <c r="H21" s="49"/>
      <c r="I21" s="49"/>
      <c r="J21" s="49">
        <f t="shared" si="2"/>
        <v>40000</v>
      </c>
      <c r="K21" s="47"/>
    </row>
    <row r="22" spans="1:11" ht="19.5" customHeight="1">
      <c r="A22" s="47">
        <v>17</v>
      </c>
      <c r="B22" s="48" t="s">
        <v>17</v>
      </c>
      <c r="C22" s="48"/>
      <c r="D22" s="47"/>
      <c r="E22" s="47"/>
      <c r="F22" s="47">
        <v>3</v>
      </c>
      <c r="G22" s="49">
        <v>23000</v>
      </c>
      <c r="H22" s="49"/>
      <c r="I22" s="49"/>
      <c r="J22" s="49">
        <f t="shared" si="2"/>
        <v>69000</v>
      </c>
      <c r="K22" s="47"/>
    </row>
    <row r="23" spans="1:11" ht="19.5" customHeight="1">
      <c r="A23" s="47">
        <v>18</v>
      </c>
      <c r="B23" s="48" t="s">
        <v>18</v>
      </c>
      <c r="C23" s="48"/>
      <c r="D23" s="47"/>
      <c r="E23" s="47"/>
      <c r="F23" s="47">
        <v>2</v>
      </c>
      <c r="G23" s="49">
        <v>8500</v>
      </c>
      <c r="H23" s="49"/>
      <c r="I23" s="49"/>
      <c r="J23" s="49">
        <f t="shared" si="2"/>
        <v>17000</v>
      </c>
      <c r="K23" s="47"/>
    </row>
    <row r="24" spans="1:11" ht="19.5" customHeight="1">
      <c r="A24" s="47">
        <v>19</v>
      </c>
      <c r="B24" s="48" t="s">
        <v>19</v>
      </c>
      <c r="C24" s="48"/>
      <c r="D24" s="47"/>
      <c r="E24" s="47"/>
      <c r="F24" s="47">
        <v>1</v>
      </c>
      <c r="G24" s="49">
        <v>30400</v>
      </c>
      <c r="H24" s="49"/>
      <c r="I24" s="49"/>
      <c r="J24" s="49">
        <f t="shared" si="2"/>
        <v>30400</v>
      </c>
      <c r="K24" s="47"/>
    </row>
    <row r="25" spans="1:11" ht="19.5" customHeight="1">
      <c r="A25" s="47">
        <v>20</v>
      </c>
      <c r="B25" s="48" t="s">
        <v>20</v>
      </c>
      <c r="C25" s="48"/>
      <c r="D25" s="47"/>
      <c r="E25" s="47"/>
      <c r="F25" s="47">
        <v>3</v>
      </c>
      <c r="G25" s="49">
        <v>21000</v>
      </c>
      <c r="H25" s="49"/>
      <c r="I25" s="49"/>
      <c r="J25" s="49">
        <f t="shared" si="2"/>
        <v>63000</v>
      </c>
      <c r="K25" s="47"/>
    </row>
    <row r="26" spans="1:11" ht="19.5" customHeight="1">
      <c r="A26" s="47">
        <v>21</v>
      </c>
      <c r="B26" s="48" t="s">
        <v>21</v>
      </c>
      <c r="C26" s="48"/>
      <c r="D26" s="47"/>
      <c r="E26" s="47"/>
      <c r="F26" s="47">
        <v>12</v>
      </c>
      <c r="G26" s="49">
        <v>27000</v>
      </c>
      <c r="H26" s="49"/>
      <c r="I26" s="49"/>
      <c r="J26" s="49">
        <f t="shared" si="2"/>
        <v>324000</v>
      </c>
      <c r="K26" s="47"/>
    </row>
    <row r="27" spans="1:11" ht="19.5" customHeight="1">
      <c r="A27" s="47">
        <v>22</v>
      </c>
      <c r="B27" s="48" t="s">
        <v>22</v>
      </c>
      <c r="C27" s="48" t="s">
        <v>23</v>
      </c>
      <c r="D27" s="47"/>
      <c r="E27" s="47"/>
      <c r="F27" s="47">
        <v>1</v>
      </c>
      <c r="G27" s="49">
        <v>93600</v>
      </c>
      <c r="H27" s="49"/>
      <c r="I27" s="49"/>
      <c r="J27" s="49">
        <f t="shared" si="2"/>
        <v>93600</v>
      </c>
      <c r="K27" s="47"/>
    </row>
    <row r="28" spans="1:11" ht="19.5" customHeight="1">
      <c r="A28" s="47">
        <v>23</v>
      </c>
      <c r="B28" s="48" t="s">
        <v>24</v>
      </c>
      <c r="C28" s="48" t="s">
        <v>25</v>
      </c>
      <c r="D28" s="47"/>
      <c r="E28" s="47"/>
      <c r="F28" s="47">
        <v>2</v>
      </c>
      <c r="G28" s="49">
        <v>6400</v>
      </c>
      <c r="H28" s="49"/>
      <c r="I28" s="49"/>
      <c r="J28" s="49">
        <f t="shared" si="2"/>
        <v>12800</v>
      </c>
      <c r="K28" s="47"/>
    </row>
    <row r="29" spans="1:11" ht="19.5" customHeight="1">
      <c r="A29" s="47">
        <v>24</v>
      </c>
      <c r="B29" s="48" t="s">
        <v>71</v>
      </c>
      <c r="C29" s="48"/>
      <c r="D29" s="47"/>
      <c r="E29" s="47"/>
      <c r="F29" s="47">
        <v>3</v>
      </c>
      <c r="G29" s="49">
        <v>3000</v>
      </c>
      <c r="H29" s="49"/>
      <c r="I29" s="49"/>
      <c r="J29" s="49">
        <f t="shared" si="2"/>
        <v>9000</v>
      </c>
      <c r="K29" s="47"/>
    </row>
    <row r="30" spans="1:11" ht="19.5" customHeight="1">
      <c r="A30" s="47">
        <v>25</v>
      </c>
      <c r="B30" s="48" t="s">
        <v>28</v>
      </c>
      <c r="C30" s="48"/>
      <c r="D30" s="47"/>
      <c r="E30" s="47"/>
      <c r="F30" s="47">
        <v>12</v>
      </c>
      <c r="G30" s="49">
        <v>3300</v>
      </c>
      <c r="H30" s="49"/>
      <c r="I30" s="49"/>
      <c r="J30" s="49">
        <f t="shared" si="2"/>
        <v>39600</v>
      </c>
      <c r="K30" s="47"/>
    </row>
    <row r="31" spans="1:11" ht="24" customHeight="1">
      <c r="A31" s="39"/>
      <c r="B31" s="39" t="s">
        <v>30</v>
      </c>
      <c r="C31" s="39"/>
      <c r="D31" s="39">
        <f>SUM(D6:D30)</f>
        <v>82</v>
      </c>
      <c r="E31" s="39">
        <f>SUM(E6:E30)</f>
        <v>28</v>
      </c>
      <c r="F31" s="39">
        <f>SUM(F6:F30)</f>
        <v>48</v>
      </c>
      <c r="G31" s="39"/>
      <c r="H31" s="40">
        <f>SUM(H6:H30)</f>
        <v>1115500</v>
      </c>
      <c r="I31" s="40">
        <f>SUM(I6:I30)</f>
        <v>474750</v>
      </c>
      <c r="J31" s="40">
        <f>SUM(J6:J30)</f>
        <v>903400</v>
      </c>
      <c r="K31" s="39"/>
    </row>
  </sheetData>
  <mergeCells count="9">
    <mergeCell ref="D4:F4"/>
    <mergeCell ref="G4:I4"/>
    <mergeCell ref="A1:K1"/>
    <mergeCell ref="A2:C2"/>
    <mergeCell ref="D2:F2"/>
    <mergeCell ref="G2:I2"/>
    <mergeCell ref="A3:C3"/>
    <mergeCell ref="D3:F3"/>
    <mergeCell ref="G3:I3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5월 구매내역</vt:lpstr>
      <vt:lpstr>3개월 비교 (3월~5월)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</cp:lastModifiedBy>
  <cp:revision>0</cp:revision>
  <dcterms:created xsi:type="dcterms:W3CDTF">2026-06-02T07:42:58Z</dcterms:created>
  <dcterms:modified xsi:type="dcterms:W3CDTF">2026-06-02T08:03:08Z</dcterms:modified>
  <dc:language>en-US</dc:language>
</cp:coreProperties>
</file>